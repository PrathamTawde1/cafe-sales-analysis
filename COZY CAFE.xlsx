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anvi\OneDrive\Desktop\"/>
    </mc:Choice>
  </mc:AlternateContent>
  <xr:revisionPtr revIDLastSave="0" documentId="13_ncr:1_{46ADA351-2F2E-4F0F-AF09-BD594674FCAC}" xr6:coauthVersionLast="47" xr6:coauthVersionMax="47" xr10:uidLastSave="{00000000-0000-0000-0000-000000000000}"/>
  <bookViews>
    <workbookView minimized="1" xWindow="7530" yWindow="4150" windowWidth="12010" windowHeight="6270" activeTab="2" xr2:uid="{13BDA1F7-2C14-4261-918B-11358854C589}"/>
  </bookViews>
  <sheets>
    <sheet name="RAW DETA" sheetId="5" r:id="rId1"/>
    <sheet name="CLEAN DETA" sheetId="1" r:id="rId2"/>
    <sheet name="ORDER DATA" sheetId="7" r:id="rId3"/>
    <sheet name="DASHBOARD" sheetId="10" r:id="rId4"/>
    <sheet name="Sheet12" sheetId="12" r:id="rId5"/>
  </sheets>
  <definedNames>
    <definedName name="Slicer_Item_Name">#N/A</definedName>
    <definedName name="Slicer_Item_Name1">#N/A</definedName>
    <definedName name="Slicer_Order_Location">#N/A</definedName>
    <definedName name="Slicer_Order_Location1">#N/A</definedName>
    <definedName name="Slicer_Payment_Method">#N/A</definedName>
    <definedName name="Slicer_Payment_Method1">#N/A</definedName>
    <definedName name="Slicer_Price_per_Unit">#N/A</definedName>
    <definedName name="Slicer_Total_Spent">#N/A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4" i="7" l="1"/>
  <c r="K34" i="7"/>
  <c r="J34" i="7"/>
  <c r="L33" i="7"/>
  <c r="K33" i="7"/>
  <c r="J33" i="7"/>
  <c r="L32" i="7"/>
  <c r="K32" i="7"/>
  <c r="J32" i="7"/>
  <c r="L31" i="7"/>
  <c r="K31" i="7"/>
  <c r="J31" i="7"/>
  <c r="L30" i="7"/>
  <c r="K30" i="7"/>
  <c r="J30" i="7"/>
  <c r="L29" i="7"/>
  <c r="K29" i="7"/>
  <c r="J29" i="7"/>
  <c r="L28" i="7"/>
  <c r="K28" i="7"/>
  <c r="J28" i="7"/>
  <c r="L27" i="7"/>
  <c r="K27" i="7"/>
  <c r="J27" i="7"/>
  <c r="L26" i="7"/>
  <c r="K26" i="7"/>
  <c r="J26" i="7"/>
  <c r="L25" i="7"/>
  <c r="K25" i="7"/>
  <c r="J25" i="7"/>
  <c r="L24" i="7"/>
  <c r="K24" i="7"/>
  <c r="J24" i="7"/>
  <c r="L23" i="7"/>
  <c r="K23" i="7"/>
  <c r="J23" i="7"/>
  <c r="L22" i="7"/>
  <c r="K22" i="7"/>
  <c r="J22" i="7"/>
  <c r="L21" i="7"/>
  <c r="K21" i="7"/>
  <c r="J21" i="7"/>
  <c r="L20" i="7"/>
  <c r="K20" i="7"/>
  <c r="J20" i="7"/>
  <c r="L19" i="7"/>
  <c r="K19" i="7"/>
  <c r="J19" i="7"/>
  <c r="L18" i="7"/>
  <c r="K18" i="7"/>
  <c r="J18" i="7"/>
  <c r="L17" i="7"/>
  <c r="K17" i="7"/>
  <c r="J17" i="7"/>
  <c r="L16" i="7"/>
  <c r="K16" i="7"/>
  <c r="J16" i="7"/>
  <c r="L15" i="7"/>
  <c r="K15" i="7"/>
  <c r="J15" i="7"/>
  <c r="L14" i="7"/>
  <c r="K14" i="7"/>
  <c r="J14" i="7"/>
  <c r="L13" i="7"/>
  <c r="K13" i="7"/>
  <c r="J13" i="7"/>
  <c r="L12" i="7"/>
  <c r="K12" i="7"/>
  <c r="J12" i="7"/>
  <c r="L11" i="7"/>
  <c r="K11" i="7"/>
  <c r="J11" i="7"/>
  <c r="L10" i="7"/>
  <c r="K10" i="7"/>
  <c r="J10" i="7"/>
  <c r="L9" i="7"/>
  <c r="K9" i="7"/>
  <c r="J9" i="7"/>
  <c r="L8" i="7"/>
  <c r="K8" i="7"/>
  <c r="J8" i="7"/>
  <c r="L7" i="7"/>
  <c r="K7" i="7"/>
  <c r="J7" i="7"/>
  <c r="L6" i="7"/>
  <c r="K6" i="7"/>
  <c r="J6" i="7"/>
  <c r="L5" i="7"/>
  <c r="K5" i="7"/>
  <c r="J5" i="7"/>
  <c r="L4" i="7"/>
  <c r="K4" i="7"/>
  <c r="J4" i="7"/>
  <c r="L5" i="1" l="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4" i="1"/>
  <c r="J8" i="1"/>
  <c r="J9" i="1"/>
  <c r="J10" i="1"/>
  <c r="J11" i="1"/>
  <c r="J12" i="1"/>
  <c r="J13" i="1"/>
  <c r="J14" i="1"/>
  <c r="J15" i="1"/>
  <c r="J16" i="1"/>
  <c r="J17" i="1"/>
  <c r="J18" i="1"/>
  <c r="J19" i="1"/>
  <c r="J20" i="1"/>
  <c r="J21" i="1"/>
  <c r="J22" i="1"/>
  <c r="J23" i="1"/>
  <c r="J24" i="1"/>
  <c r="J25" i="1"/>
  <c r="J26" i="1"/>
  <c r="J27" i="1"/>
  <c r="J28" i="1"/>
  <c r="J29" i="1"/>
  <c r="J30" i="1"/>
  <c r="J31" i="1"/>
  <c r="J32" i="1"/>
  <c r="J33" i="1"/>
  <c r="J34" i="1"/>
  <c r="J5" i="1"/>
  <c r="J6" i="1"/>
  <c r="J7" i="1"/>
  <c r="J4" i="1"/>
</calcChain>
</file>

<file path=xl/sharedStrings.xml><?xml version="1.0" encoding="utf-8"?>
<sst xmlns="http://schemas.openxmlformats.org/spreadsheetml/2006/main" count="454" uniqueCount="69">
  <si>
    <t>Transaction ID</t>
  </si>
  <si>
    <t>Item Name</t>
  </si>
  <si>
    <t>Quantity</t>
  </si>
  <si>
    <t>Price per Unit</t>
  </si>
  <si>
    <t>Total Spent</t>
  </si>
  <si>
    <t>Payment Method</t>
  </si>
  <si>
    <t>Order Location</t>
  </si>
  <si>
    <t>Transaction Date</t>
  </si>
  <si>
    <t>Date</t>
  </si>
  <si>
    <t>Month</t>
  </si>
  <si>
    <t>Year</t>
  </si>
  <si>
    <t>Quarter</t>
  </si>
  <si>
    <t>T201</t>
  </si>
  <si>
    <t>Coffee</t>
  </si>
  <si>
    <t>Cash</t>
  </si>
  <si>
    <t>In-store</t>
  </si>
  <si>
    <t>T202</t>
  </si>
  <si>
    <t>Tea</t>
  </si>
  <si>
    <t>Card</t>
  </si>
  <si>
    <t>Takeaway</t>
  </si>
  <si>
    <t>T203</t>
  </si>
  <si>
    <t>Sandwich</t>
  </si>
  <si>
    <t>UPI</t>
  </si>
  <si>
    <t>T204</t>
  </si>
  <si>
    <t>Burger</t>
  </si>
  <si>
    <t>T205</t>
  </si>
  <si>
    <t>Pizza</t>
  </si>
  <si>
    <t>T206</t>
  </si>
  <si>
    <t>UNKNOWN</t>
  </si>
  <si>
    <t>T207</t>
  </si>
  <si>
    <t>Pasta</t>
  </si>
  <si>
    <t>T208</t>
  </si>
  <si>
    <t>Wrap</t>
  </si>
  <si>
    <t>T209</t>
  </si>
  <si>
    <t>Fries</t>
  </si>
  <si>
    <t>INVALID_DATE</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</si>
  <si>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</si>
  <si>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</si>
  <si>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</si>
  <si>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</si>
  <si>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</si>
  <si>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</si>
  <si>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</si>
  <si>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</si>
  <si>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</si>
  <si>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</si>
  <si>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</si>
  <si>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</si>
  <si>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</si>
  <si>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</si>
  <si>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</si>
  <si>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</si>
  <si>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</si>
  <si>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</si>
  <si>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</si>
  <si>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</si>
  <si>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</si>
  <si>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</si>
  <si>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OTHER</t>
  </si>
  <si>
    <t>Oct</t>
  </si>
  <si>
    <t>Grand Total</t>
  </si>
  <si>
    <t>Sum of Total Spent</t>
  </si>
  <si>
    <t>Row Labels</t>
  </si>
  <si>
    <t>TOP PRODCUTS :PIZZA</t>
  </si>
  <si>
    <t>MOST PREFERED ORDER TYPE :TAKEAWAY</t>
  </si>
  <si>
    <t>MOST USED PAYMENT MRTHORS : CASH</t>
  </si>
  <si>
    <t>KEY INSITES IN MONTH OCTOMBER</t>
  </si>
  <si>
    <t>ORDER DATA FOR CUP COZY CAFE</t>
  </si>
  <si>
    <r>
      <rPr>
        <u/>
        <sz val="15"/>
        <color theme="1"/>
        <rFont val="Berlin Sans FB Demi"/>
        <family val="2"/>
      </rPr>
      <t>COZY CUP</t>
    </r>
    <r>
      <rPr>
        <sz val="15"/>
        <color theme="1"/>
        <rFont val="Berlin Sans FB Dem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</si>
</sst>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theme="2"/>
      <name val="Calibri"/>
      <family val="2"/>
      <scheme val="minor"/>
    </font>
    <font>
      <sz val="36"/>
      <color theme="1"/>
      <name val="Calibri"/>
      <family val="2"/>
      <scheme val="minor"/>
    </font>
    <font>
      <sz val="48"/>
      <color theme="1"/>
      <name val="Calibri"/>
      <family val="2"/>
      <scheme val="minor"/>
    </font>
    <font>
      <b/>
      <sz val="20"/>
      <color theme="1"/>
      <name val="Calibri"/>
      <family val="2"/>
      <scheme val="minor"/>
    </font>
    <font>
      <sz val="20"/>
      <color theme="1"/>
      <name val="Calibri"/>
      <family val="2"/>
      <scheme val="minor"/>
    </font>
    <font>
      <b/>
      <u/>
      <sz val="14"/>
      <color theme="1"/>
      <name val="Berlin Sans FB"/>
      <family val="2"/>
    </font>
    <font>
      <sz val="14"/>
      <color theme="1"/>
      <name val="Calibri"/>
      <family val="2"/>
      <scheme val="minor"/>
    </font>
    <font>
      <sz val="14"/>
      <color theme="1" tint="4.9989318521683403E-2"/>
      <name val="Calibri"/>
      <family val="2"/>
      <scheme val="minor"/>
    </font>
    <font>
      <sz val="15"/>
      <color theme="1"/>
      <name val="Berlin Sans FB Demi"/>
      <family val="2"/>
    </font>
    <font>
      <u/>
      <sz val="15"/>
      <color theme="1"/>
      <name val="Berlin Sans FB Demi"/>
      <family val="2"/>
    </font>
    <font>
      <b/>
      <sz val="15"/>
      <color theme="1"/>
      <name val="Berlin Sans FB Demi"/>
      <family val="2"/>
    </font>
    <font>
      <sz val="15"/>
      <name val="Calibri"/>
      <family val="2"/>
      <scheme val="minor"/>
    </font>
    <font>
      <sz val="15"/>
      <color theme="1"/>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rgb="FFCC66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5" borderId="0" xfId="0" applyFont="1" applyFill="1"/>
    <xf numFmtId="0" fontId="0" fillId="5" borderId="0" xfId="0" applyFill="1"/>
    <xf numFmtId="0" fontId="2" fillId="5" borderId="0" xfId="0" applyFont="1" applyFill="1"/>
    <xf numFmtId="0" fontId="3" fillId="5" borderId="0" xfId="0" applyFont="1" applyFill="1"/>
    <xf numFmtId="0" fontId="4" fillId="6" borderId="0" xfId="0" applyFont="1" applyFill="1"/>
    <xf numFmtId="0" fontId="5" fillId="6" borderId="0" xfId="0" applyFont="1" applyFill="1"/>
    <xf numFmtId="0" fontId="5" fillId="5" borderId="0" xfId="0" applyFont="1" applyFill="1"/>
    <xf numFmtId="0" fontId="5" fillId="3" borderId="0" xfId="0" applyFont="1" applyFill="1"/>
    <xf numFmtId="0" fontId="8" fillId="4" borderId="1" xfId="0" applyFont="1" applyFill="1" applyBorder="1" applyAlignment="1">
      <alignment horizontal="left" vertical="center" wrapText="1"/>
    </xf>
    <xf numFmtId="0" fontId="8" fillId="4" borderId="1" xfId="0" applyFont="1" applyFill="1" applyBorder="1" applyAlignment="1">
      <alignment horizontal="left" vertical="center"/>
    </xf>
    <xf numFmtId="0" fontId="7" fillId="3" borderId="1" xfId="0" applyFont="1" applyFill="1" applyBorder="1" applyAlignment="1">
      <alignment horizontal="center" vertical="center"/>
    </xf>
    <xf numFmtId="14" fontId="7" fillId="3" borderId="1" xfId="0" applyNumberFormat="1"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14" fontId="7" fillId="3" borderId="8"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0" borderId="0" xfId="0" applyFont="1"/>
    <xf numFmtId="0" fontId="12" fillId="4" borderId="2" xfId="0" applyFont="1" applyFill="1" applyBorder="1" applyAlignment="1">
      <alignment horizontal="center"/>
    </xf>
    <xf numFmtId="0" fontId="12" fillId="4" borderId="3" xfId="0" applyFont="1" applyFill="1" applyBorder="1" applyAlignment="1">
      <alignment horizontal="center" wrapText="1"/>
    </xf>
    <xf numFmtId="0" fontId="12" fillId="4" borderId="3" xfId="0" applyFont="1" applyFill="1" applyBorder="1" applyAlignment="1">
      <alignment horizontal="center"/>
    </xf>
    <xf numFmtId="0" fontId="12" fillId="4" borderId="4" xfId="0" applyFont="1" applyFill="1" applyBorder="1" applyAlignment="1">
      <alignment horizontal="center"/>
    </xf>
    <xf numFmtId="0" fontId="13" fillId="3" borderId="5" xfId="0" applyFont="1" applyFill="1" applyBorder="1" applyAlignment="1">
      <alignment horizontal="center"/>
    </xf>
    <xf numFmtId="0" fontId="13" fillId="3" borderId="1" xfId="0" applyFont="1" applyFill="1" applyBorder="1" applyAlignment="1">
      <alignment horizontal="center"/>
    </xf>
    <xf numFmtId="14" fontId="13" fillId="3" borderId="1" xfId="0" applyNumberFormat="1" applyFont="1" applyFill="1" applyBorder="1" applyAlignment="1">
      <alignment horizontal="center"/>
    </xf>
    <xf numFmtId="0" fontId="13" fillId="3" borderId="6" xfId="0" applyFont="1" applyFill="1" applyBorder="1" applyAlignment="1">
      <alignment horizontal="center"/>
    </xf>
    <xf numFmtId="0" fontId="13" fillId="3" borderId="7" xfId="0" applyFont="1" applyFill="1" applyBorder="1" applyAlignment="1">
      <alignment horizontal="center"/>
    </xf>
    <xf numFmtId="0" fontId="13" fillId="3" borderId="8" xfId="0" applyFont="1" applyFill="1" applyBorder="1" applyAlignment="1">
      <alignment horizontal="center"/>
    </xf>
    <xf numFmtId="14" fontId="13" fillId="3" borderId="8" xfId="0" applyNumberFormat="1" applyFont="1" applyFill="1" applyBorder="1" applyAlignment="1">
      <alignment horizontal="center"/>
    </xf>
    <xf numFmtId="0" fontId="13" fillId="3" borderId="9" xfId="0" applyFont="1" applyFill="1" applyBorder="1" applyAlignment="1">
      <alignment horizontal="center"/>
    </xf>
    <xf numFmtId="0" fontId="9" fillId="4" borderId="0" xfId="0" applyFont="1" applyFill="1" applyAlignment="1">
      <alignment horizontal="center" vertical="center"/>
    </xf>
    <xf numFmtId="0" fontId="11" fillId="4" borderId="0" xfId="0" applyFont="1" applyFill="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0" fillId="0" borderId="0" xfId="0" applyNumberFormat="1"/>
  </cellXfs>
  <cellStyles count="1">
    <cellStyle name="Normal" xfId="0" builtinId="0"/>
  </cellStyles>
  <dxfs count="64">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numFmt numFmtId="19" formatCode="dd/mm/yyyy"/>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numFmt numFmtId="19" formatCode="dd/mm/yyyy"/>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4"/>
      </font>
      <fill>
        <patternFill patternType="solid">
          <fgColor indexed="64"/>
          <bgColor theme="7" tint="0.59999389629810485"/>
        </patternFill>
      </fill>
      <alignment horizontal="center" vertical="center" textRotation="0" wrapText="0" indent="0" justifyLastLine="0" shrinkToFit="0" readingOrder="0"/>
      <border diagonalUp="0" diagonalDown="0" outline="0">
        <left/>
        <right style="thin">
          <color indexed="64"/>
        </right>
        <top style="thin">
          <color indexed="64"/>
        </top>
        <bottom/>
      </border>
    </dxf>
    <dxf>
      <font>
        <strike val="0"/>
        <outline val="0"/>
        <shadow val="0"/>
        <vertAlign val="baseline"/>
        <sz val="14"/>
      </font>
      <fill>
        <patternFill patternType="solid">
          <fgColor indexed="64"/>
          <bgColor theme="7" tint="0.59999389629810485"/>
        </patternFill>
      </fill>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sz val="14"/>
      </font>
    </dxf>
    <dxf>
      <font>
        <strike val="0"/>
        <outline val="0"/>
        <shadow val="0"/>
        <vertAlign val="baseline"/>
        <sz val="14"/>
        <family val="2"/>
      </font>
      <fill>
        <patternFill patternType="solid">
          <fgColor indexed="64"/>
          <bgColor theme="7" tint="0.59999389629810485"/>
        </patternFill>
      </fill>
      <alignment horizontal="center" vertical="center" textRotation="0" indent="0" justifyLastLine="0" shrinkToFit="0" readingOrder="0"/>
    </dxf>
    <dxf>
      <font>
        <strike val="0"/>
        <outline val="0"/>
        <shadow val="0"/>
        <u val="none"/>
        <vertAlign val="baseline"/>
        <sz val="14"/>
        <color theme="1" tint="4.9989318521683403E-2"/>
        <name val="Calibri"/>
        <family val="2"/>
        <scheme val="minor"/>
      </font>
      <fill>
        <patternFill patternType="solid">
          <fgColor indexed="64"/>
          <bgColor theme="7" tint="-0.249977111117893"/>
        </patternFill>
      </fill>
      <alignment horizontal="left" vertical="center" textRotation="0" indent="0" justifyLastLine="0" shrinkToFit="0" readingOrder="0"/>
      <border diagonalUp="0" diagonalDown="0" outline="0">
        <left style="thin">
          <color indexed="64"/>
        </left>
        <right style="thin">
          <color indexed="64"/>
        </right>
        <top/>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numFmt numFmtId="19" formatCode="dd/mm/yyyy"/>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numFmt numFmtId="19" formatCode="dd/mm/yyyy"/>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ont>
        <strike val="0"/>
        <outline val="0"/>
        <shadow val="0"/>
        <vertAlign val="baseline"/>
        <sz val="15"/>
      </font>
    </dxf>
    <dxf>
      <border diagonalUp="0" diagonalDown="0">
        <left style="thin">
          <color indexed="64"/>
        </left>
        <right style="thin">
          <color indexed="64"/>
        </right>
        <top style="thin">
          <color indexed="64"/>
        </top>
        <bottom style="thin">
          <color indexed="64"/>
        </bottom>
      </border>
    </dxf>
    <dxf>
      <font>
        <strike val="0"/>
        <outline val="0"/>
        <shadow val="0"/>
        <vertAlign val="baseline"/>
        <sz val="15"/>
      </font>
      <fill>
        <patternFill patternType="solid">
          <fgColor indexed="64"/>
          <bgColor theme="7" tint="0.59999389629810485"/>
        </patternFill>
      </fill>
      <alignment horizontal="center" vertical="bottom" textRotation="0" indent="0" justifyLastLine="0" shrinkToFit="0" readingOrder="0"/>
    </dxf>
    <dxf>
      <border>
        <bottom style="thin">
          <color indexed="64"/>
        </bottom>
      </border>
    </dxf>
    <dxf>
      <font>
        <strike val="0"/>
        <outline val="0"/>
        <shadow val="0"/>
        <vertAlign val="baseline"/>
        <sz val="15"/>
      </font>
      <fill>
        <patternFill patternType="solid">
          <fgColor indexed="64"/>
          <bgColor theme="7"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b/>
        <i val="0"/>
        <sz val="7"/>
      </font>
      <fill>
        <patternFill>
          <bgColor theme="7" tint="-0.24994659260841701"/>
        </patternFill>
      </fill>
      <border diagonalUp="0" diagonalDown="0">
        <left style="thin">
          <color auto="1"/>
        </left>
        <right style="thin">
          <color auto="1"/>
        </right>
        <top style="thin">
          <color auto="1"/>
        </top>
        <bottom style="thin">
          <color auto="1"/>
        </bottom>
        <vertical/>
        <horizontal/>
      </border>
    </dxf>
    <dxf>
      <font>
        <sz val="8"/>
      </font>
      <fill>
        <patternFill>
          <bgColor theme="7" tint="0.39994506668294322"/>
        </patternFill>
      </fill>
      <border>
        <left style="thin">
          <color auto="1"/>
        </left>
        <right style="thin">
          <color auto="1"/>
        </right>
        <top style="thin">
          <color auto="1"/>
        </top>
        <bottom style="thin">
          <color auto="1"/>
        </bottom>
      </border>
    </dxf>
    <dxf>
      <font>
        <b/>
        <i val="0"/>
        <sz val="7"/>
      </font>
      <fill>
        <patternFill>
          <bgColor theme="7" tint="-0.24994659260841701"/>
        </patternFill>
      </fill>
      <border>
        <left style="thin">
          <color auto="1"/>
        </left>
        <right style="thin">
          <color auto="1"/>
        </right>
        <top style="thin">
          <color auto="1"/>
        </top>
        <bottom style="thin">
          <color auto="1"/>
        </bottom>
      </border>
    </dxf>
    <dxf>
      <font>
        <sz val="9"/>
      </font>
      <fill>
        <patternFill>
          <bgColor theme="7" tint="0.39994506668294322"/>
        </patternFill>
      </fill>
    </dxf>
    <dxf>
      <font>
        <sz val="28"/>
      </font>
    </dxf>
    <dxf>
      <font>
        <b/>
        <i val="0"/>
        <sz val="24"/>
      </font>
      <fill>
        <patternFill>
          <bgColor theme="7" tint="-0.24994659260841701"/>
        </patternFill>
      </fill>
      <border>
        <left style="thin">
          <color auto="1"/>
        </left>
        <right style="thin">
          <color auto="1"/>
        </right>
        <top style="thin">
          <color auto="1"/>
        </top>
        <bottom style="thin">
          <color auto="1"/>
        </bottom>
        <vertical style="thin">
          <color auto="1"/>
        </vertical>
        <horizontal/>
      </border>
    </dxf>
    <dxf>
      <font>
        <b/>
        <i val="0"/>
        <sz val="20"/>
      </font>
      <fill>
        <patternFill>
          <bgColor theme="7" tint="0.39994506668294322"/>
        </patternFill>
      </fill>
      <border>
        <left style="thin">
          <color auto="1"/>
        </left>
        <right style="thin">
          <color auto="1"/>
        </right>
        <top style="thin">
          <color auto="1"/>
        </top>
        <bottom style="thin">
          <color auto="1"/>
        </bottom>
      </border>
    </dxf>
    <dxf>
      <font>
        <b/>
        <i val="0"/>
        <sz val="22"/>
        <name val="Aptos Display"/>
        <family val="2"/>
        <scheme val="none"/>
      </font>
      <fill>
        <patternFill>
          <bgColor theme="7" tint="-0.24994659260841701"/>
        </patternFill>
      </fill>
    </dxf>
    <dxf>
      <font>
        <b val="0"/>
        <i val="0"/>
        <sz val="16"/>
        <name val="Calibri Light"/>
        <family val="2"/>
        <scheme val="major"/>
      </font>
      <fill>
        <patternFill>
          <bgColor theme="7" tint="0.59996337778862885"/>
        </patternFill>
      </fill>
      <border>
        <left style="thin">
          <color auto="1"/>
        </left>
        <right style="thin">
          <color auto="1"/>
        </right>
        <top style="thin">
          <color auto="1"/>
        </top>
        <bottom style="thin">
          <color auto="1"/>
        </bottom>
        <horizontal/>
      </border>
    </dxf>
    <dxf>
      <font>
        <b/>
        <i val="0"/>
        <sz val="14"/>
        <name val="Calibri Light"/>
        <family val="2"/>
        <scheme val="major"/>
      </font>
      <fill>
        <patternFill>
          <bgColor theme="7" tint="0.59996337778862885"/>
        </patternFill>
      </fill>
      <border>
        <left style="thin">
          <color auto="1"/>
        </left>
        <right style="thin">
          <color auto="1"/>
        </right>
        <top/>
        <bottom style="thin">
          <color auto="1"/>
        </bottom>
        <vertical style="thin">
          <color auto="1"/>
        </vertical>
        <horizontal/>
      </border>
    </dxf>
    <dxf>
      <fill>
        <patternFill>
          <fgColor theme="7" tint="0.39991454817346722"/>
          <bgColor theme="7" tint="0.39994506668294322"/>
        </patternFill>
      </fill>
    </dxf>
  </dxfs>
  <tableStyles count="7" defaultTableStyle="TableStyleMedium2" defaultPivotStyle="PivotStyleLight16">
    <tableStyle name="Slicer Style 1" pivot="0" table="0" count="1" xr9:uid="{7D6F8AFC-F598-411C-AA9B-B6E628232C2C}">
      <tableStyleElement type="wholeTable" dxfId="63"/>
    </tableStyle>
    <tableStyle name="Slicer Style 2" pivot="0" table="0" count="1" xr9:uid="{DEB9B145-69B6-4C46-A122-04BF4CDDCC99}">
      <tableStyleElement type="wholeTable" dxfId="62"/>
    </tableStyle>
    <tableStyle name="Slicer Style 3" pivot="0" table="0" count="2" xr9:uid="{95F7A975-55A2-4DB7-81D5-AC6E4C689F57}">
      <tableStyleElement type="wholeTable" dxfId="61"/>
      <tableStyleElement type="headerRow" dxfId="60"/>
    </tableStyle>
    <tableStyle name="Slicer Style 4" pivot="0" table="0" count="2" xr9:uid="{1F15DD0E-3441-479B-B69D-37006DEE0069}">
      <tableStyleElement type="wholeTable" dxfId="59"/>
      <tableStyleElement type="headerRow" dxfId="58"/>
    </tableStyle>
    <tableStyle name="Slicer Style 5" pivot="0" table="0" count="1" xr9:uid="{BF0605D9-19ED-41C6-95FE-28DA66E2E876}">
      <tableStyleElement type="headerRow" dxfId="57"/>
    </tableStyle>
    <tableStyle name="Slicer Style 6" pivot="0" table="0" count="2" xr9:uid="{4BD21420-F5AE-4C49-9CD6-AEC85382FF33}">
      <tableStyleElement type="wholeTable" dxfId="56"/>
      <tableStyleElement type="headerRow" dxfId="55"/>
    </tableStyle>
    <tableStyle name="Slicer Style 7" pivot="0" table="0" count="2" xr9:uid="{640C5512-63F0-4009-87BE-EEE9CA95F2D2}">
      <tableStyleElement type="wholeTable" dxfId="54"/>
      <tableStyleElement type="headerRow" dxfId="53"/>
    </tableStyle>
  </tableStyles>
  <colors>
    <mruColors>
      <color rgb="FFCC6600"/>
      <color rgb="FF7E6000"/>
      <color rgb="FF2A2000"/>
      <color rgb="FF655C1B"/>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[COZY CAFE.xlsx]Sheet12!PivotTable14</c:name>
    <c:fmtId val="3"/>
  </c:pivotSource>
  <c:chart>
    <c:title>
      <c:tx>
        <c:rich>
          <a:bodyPr rot="0" spcFirstLastPara="1" vertOverflow="ellipsis" vert="horz" wrap="square" anchor="ctr" anchorCtr="1"/>
          <a:lstStyle/>
          <a:p>
            <a:pPr>
              <a:defRPr sz="1000" b="1" i="0" u="none" strike="noStrike" kern="1200" spc="0" baseline="0">
                <a:solidFill>
                  <a:schemeClr val="tx1">
                    <a:lumMod val="95000"/>
                    <a:lumOff val="5000"/>
                  </a:schemeClr>
                </a:solidFill>
                <a:latin typeface="+mn-lt"/>
                <a:ea typeface="+mn-ea"/>
                <a:cs typeface="+mn-cs"/>
              </a:defRPr>
            </a:pPr>
            <a:r>
              <a:rPr lang="en-US" sz="1000">
                <a:solidFill>
                  <a:schemeClr val="tx1">
                    <a:lumMod val="95000"/>
                    <a:lumOff val="5000"/>
                  </a:schemeClr>
                </a:solidFill>
              </a:rPr>
              <a:t>PRODUCT</a:t>
            </a:r>
            <a:r>
              <a:rPr lang="en-US" sz="1000" baseline="0">
                <a:solidFill>
                  <a:schemeClr val="tx1">
                    <a:lumMod val="95000"/>
                    <a:lumOff val="5000"/>
                  </a:schemeClr>
                </a:solidFill>
              </a:rPr>
              <a:t> VISE SALES COMPERASION</a:t>
            </a:r>
            <a:endParaRPr lang="en-US" sz="1000">
              <a:solidFill>
                <a:schemeClr val="tx1">
                  <a:lumMod val="95000"/>
                  <a:lumOff val="5000"/>
                </a:schemeClr>
              </a:solidFill>
            </a:endParaRPr>
          </a:p>
        </c:rich>
      </c:tx>
      <c:layout>
        <c:manualLayout>
          <c:xMode val="edge"/>
          <c:yMode val="edge"/>
          <c:x val="0.39339121251547715"/>
          <c:y val="3.2102465157330816E-3"/>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42423693424727E-2"/>
          <c:y val="0.1431754075716164"/>
          <c:w val="0.8617756780643876"/>
          <c:h val="0.7559031773982483"/>
        </c:manualLayout>
      </c:layout>
      <c:barChart>
        <c:barDir val="col"/>
        <c:grouping val="clustered"/>
        <c:varyColors val="0"/>
        <c:ser>
          <c:idx val="0"/>
          <c:order val="0"/>
          <c:tx>
            <c:strRef>
              <c:f>Sheet12!$C$6</c:f>
              <c:strCache>
                <c:ptCount val="1"/>
                <c:pt idx="0">
                  <c:v>Total</c:v>
                </c:pt>
              </c:strCache>
            </c:strRef>
          </c:tx>
          <c:spPr>
            <a:solidFill>
              <a:schemeClr val="accent2"/>
            </a:solidFill>
            <a:ln>
              <a:noFill/>
            </a:ln>
            <a:effectLst/>
          </c:spPr>
          <c:invertIfNegative val="0"/>
          <c:cat>
            <c:strRef>
              <c:f>Sheet12!$B$7:$B$17</c:f>
              <c:strCache>
                <c:ptCount val="10"/>
                <c:pt idx="0">
                  <c:v>Burger</c:v>
                </c:pt>
                <c:pt idx="1">
                  <c:v>Coffee</c:v>
                </c:pt>
                <c:pt idx="2">
                  <c:v>Fries</c:v>
                </c:pt>
                <c:pt idx="3">
                  <c:v>OTHER</c:v>
                </c:pt>
                <c:pt idx="4">
                  <c:v>Pasta</c:v>
                </c:pt>
                <c:pt idx="5">
                  <c:v>Pizza</c:v>
                </c:pt>
                <c:pt idx="6">
                  <c:v>Sandwich</c:v>
                </c:pt>
                <c:pt idx="7">
                  <c:v>Tea</c:v>
                </c:pt>
                <c:pt idx="8">
                  <c:v>UNKNOWN</c:v>
                </c:pt>
                <c:pt idx="9">
                  <c:v>Wrap</c:v>
                </c:pt>
              </c:strCache>
            </c:strRef>
          </c:cat>
          <c:val>
            <c:numRef>
              <c:f>Sheet12!$C$7:$C$17</c:f>
              <c:numCache>
                <c:formatCode>General</c:formatCode>
                <c:ptCount val="10"/>
                <c:pt idx="0">
                  <c:v>1600</c:v>
                </c:pt>
                <c:pt idx="1">
                  <c:v>720</c:v>
                </c:pt>
                <c:pt idx="2">
                  <c:v>630</c:v>
                </c:pt>
                <c:pt idx="3">
                  <c:v>200</c:v>
                </c:pt>
                <c:pt idx="4">
                  <c:v>1060</c:v>
                </c:pt>
                <c:pt idx="5">
                  <c:v>1800</c:v>
                </c:pt>
                <c:pt idx="6">
                  <c:v>750</c:v>
                </c:pt>
                <c:pt idx="7">
                  <c:v>480</c:v>
                </c:pt>
                <c:pt idx="8">
                  <c:v>150</c:v>
                </c:pt>
                <c:pt idx="9">
                  <c:v>1530</c:v>
                </c:pt>
              </c:numCache>
            </c:numRef>
          </c:val>
          <c:extLst>
            <c:ext xmlns:c16="http://schemas.microsoft.com/office/drawing/2014/chart" uri="{C3380CC4-5D6E-409C-BE32-E72D297353CC}">
              <c16:uniqueId val="{00000000-E8EF-455C-830F-2F8CC49731AB}"/>
            </c:ext>
          </c:extLst>
        </c:ser>
        <c:dLbls>
          <c:showLegendKey val="0"/>
          <c:showVal val="0"/>
          <c:showCatName val="0"/>
          <c:showSerName val="0"/>
          <c:showPercent val="0"/>
          <c:showBubbleSize val="0"/>
        </c:dLbls>
        <c:gapWidth val="219"/>
        <c:axId val="594704688"/>
        <c:axId val="612871696"/>
      </c:barChart>
      <c:catAx>
        <c:axId val="59470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612871696"/>
        <c:crosses val="autoZero"/>
        <c:auto val="1"/>
        <c:lblAlgn val="ctr"/>
        <c:lblOffset val="100"/>
        <c:noMultiLvlLbl val="0"/>
      </c:catAx>
      <c:valAx>
        <c:axId val="61287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594704688"/>
        <c:crosses val="autoZero"/>
        <c:crossBetween val="between"/>
      </c:valAx>
      <c:spPr>
        <a:noFill/>
        <a:ln>
          <a:noFill/>
        </a:ln>
        <a:effectLst/>
      </c:spPr>
    </c:plotArea>
    <c:legend>
      <c:legendPos val="r"/>
      <c:layout>
        <c:manualLayout>
          <c:xMode val="edge"/>
          <c:yMode val="edge"/>
          <c:x val="0.86755242088218332"/>
          <c:y val="0.10598044754909514"/>
          <c:w val="0.10499836017005788"/>
          <c:h val="0.14015263701216674"/>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[COZY CAFE.xlsx]Sheet12!PivotTable26</c:name>
    <c:fmtId val="3"/>
  </c:pivotSource>
  <c:chart>
    <c:title>
      <c:tx>
        <c:rich>
          <a:bodyPr rot="0" spcFirstLastPara="1" vertOverflow="ellipsis" vert="horz" wrap="square" anchor="ctr" anchorCtr="1"/>
          <a:lstStyle/>
          <a:p>
            <a:pPr algn="ctr" rtl="0">
              <a:defRPr lang="en-US" sz="1000" b="1" i="0" u="none" strike="noStrike" kern="1200" spc="0" baseline="0">
                <a:solidFill>
                  <a:schemeClr val="tx1">
                    <a:lumMod val="95000"/>
                    <a:lumOff val="5000"/>
                  </a:schemeClr>
                </a:solidFill>
                <a:latin typeface="+mn-lt"/>
                <a:ea typeface="+mn-ea"/>
                <a:cs typeface="+mn-cs"/>
              </a:defRPr>
            </a:pPr>
            <a:r>
              <a:rPr lang="en-US" sz="1000" b="1" i="0" u="none" strike="noStrike" kern="1200" spc="0" baseline="0">
                <a:solidFill>
                  <a:schemeClr val="tx1">
                    <a:lumMod val="95000"/>
                    <a:lumOff val="5000"/>
                  </a:schemeClr>
                </a:solidFill>
                <a:latin typeface="+mn-lt"/>
                <a:ea typeface="+mn-ea"/>
                <a:cs typeface="+mn-cs"/>
              </a:rPr>
              <a:t>SALES BY ORDER TYPE</a:t>
            </a:r>
          </a:p>
          <a:p>
            <a:pPr algn="ctr" rtl="0">
              <a:defRPr sz="1000" b="1">
                <a:solidFill>
                  <a:schemeClr val="tx1">
                    <a:lumMod val="95000"/>
                    <a:lumOff val="5000"/>
                  </a:schemeClr>
                </a:solidFill>
              </a:defRPr>
            </a:pPr>
            <a:endParaRPr lang="en-US" sz="1000" b="1" i="0" u="none" strike="noStrike" kern="1200" spc="0" baseline="0">
              <a:solidFill>
                <a:schemeClr val="tx1">
                  <a:lumMod val="95000"/>
                  <a:lumOff val="5000"/>
                </a:schemeClr>
              </a:solidFill>
              <a:latin typeface="+mn-lt"/>
              <a:ea typeface="+mn-ea"/>
              <a:cs typeface="+mn-cs"/>
            </a:endParaRPr>
          </a:p>
        </c:rich>
      </c:tx>
      <c:layout>
        <c:manualLayout>
          <c:xMode val="edge"/>
          <c:yMode val="edge"/>
          <c:x val="0.56909130561560017"/>
          <c:y val="1.3564152965975259E-2"/>
        </c:manualLayout>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manualLayout>
          <c:layoutTarget val="inner"/>
          <c:xMode val="edge"/>
          <c:yMode val="edge"/>
          <c:x val="0.14194045344979095"/>
          <c:y val="0.15479110664509077"/>
          <c:w val="0.5007332707169575"/>
          <c:h val="0.7979250771962676"/>
        </c:manualLayout>
      </c:layout>
      <c:pieChart>
        <c:varyColors val="1"/>
        <c:ser>
          <c:idx val="0"/>
          <c:order val="0"/>
          <c:tx>
            <c:strRef>
              <c:f>Sheet12!$S$4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2B44-4413-851A-808DC111B3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44-4413-851A-808DC111B3D4}"/>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2B44-4413-851A-808DC111B3D4}"/>
              </c:ext>
            </c:extLst>
          </c:dPt>
          <c:cat>
            <c:strRef>
              <c:f>Sheet12!$R$5:$R$8</c:f>
              <c:strCache>
                <c:ptCount val="3"/>
                <c:pt idx="0">
                  <c:v>In-store</c:v>
                </c:pt>
                <c:pt idx="1">
                  <c:v>OTHER</c:v>
                </c:pt>
                <c:pt idx="2">
                  <c:v>Takeaway</c:v>
                </c:pt>
              </c:strCache>
            </c:strRef>
          </c:cat>
          <c:val>
            <c:numRef>
              <c:f>Sheet12!$S$5:$S$8</c:f>
              <c:numCache>
                <c:formatCode>General</c:formatCode>
                <c:ptCount val="3"/>
                <c:pt idx="0">
                  <c:v>3690</c:v>
                </c:pt>
                <c:pt idx="1">
                  <c:v>200</c:v>
                </c:pt>
                <c:pt idx="2">
                  <c:v>5030</c:v>
                </c:pt>
              </c:numCache>
            </c:numRef>
          </c:val>
          <c:extLst>
            <c:ext xmlns:c16="http://schemas.microsoft.com/office/drawing/2014/chart" uri="{C3380CC4-5D6E-409C-BE32-E72D297353CC}">
              <c16:uniqueId val="{00000006-2B44-4413-851A-808DC111B3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441101189894684"/>
          <c:y val="0.37888358750695195"/>
          <c:w val="0.243496787652031"/>
          <c:h val="0.237752159124444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[COZY CAFE.xlsx]Sheet12!PivotTable15</c:name>
    <c:fmtId val="4"/>
  </c:pivotSource>
  <c:chart>
    <c:title>
      <c:tx>
        <c:rich>
          <a:bodyPr rot="0" spcFirstLastPara="1" vertOverflow="ellipsis" vert="horz" wrap="square" anchor="ctr" anchorCtr="1"/>
          <a:lstStyle/>
          <a:p>
            <a:pPr algn="ctr">
              <a:defRPr sz="800" b="1" i="0" u="none" strike="noStrike" kern="1200" spc="0" baseline="0">
                <a:solidFill>
                  <a:schemeClr val="tx1"/>
                </a:solidFill>
                <a:latin typeface="+mn-lt"/>
                <a:ea typeface="+mn-ea"/>
                <a:cs typeface="+mn-cs"/>
              </a:defRPr>
            </a:pPr>
            <a:r>
              <a:rPr lang="en-US" sz="800"/>
              <a:t>MOSTELY USED PAYMENT METHORD</a:t>
            </a:r>
          </a:p>
          <a:p>
            <a:pPr algn="ctr">
              <a:defRPr sz="800"/>
            </a:pPr>
            <a:endParaRPr lang="en-US" sz="800"/>
          </a:p>
        </c:rich>
      </c:tx>
      <c:layout>
        <c:manualLayout>
          <c:xMode val="edge"/>
          <c:yMode val="edge"/>
          <c:x val="0.37548963303623567"/>
          <c:y val="2.5218949689253981E-2"/>
        </c:manualLayout>
      </c:layout>
      <c:overlay val="0"/>
      <c:spPr>
        <a:noFill/>
        <a:ln>
          <a:noFill/>
        </a:ln>
        <a:effectLst/>
      </c:spPr>
      <c:txPr>
        <a:bodyPr rot="0" spcFirstLastPara="1" vertOverflow="ellipsis" vert="horz" wrap="square" anchor="ctr" anchorCtr="1"/>
        <a:lstStyle/>
        <a:p>
          <a:pPr algn="ctr">
            <a:defRPr sz="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7034207842626"/>
          <c:y val="0.30574760239802595"/>
          <c:w val="0.56537585367367849"/>
          <c:h val="0.310305378033924"/>
        </c:manualLayout>
      </c:layout>
      <c:barChart>
        <c:barDir val="col"/>
        <c:grouping val="clustered"/>
        <c:varyColors val="0"/>
        <c:ser>
          <c:idx val="0"/>
          <c:order val="0"/>
          <c:tx>
            <c:strRef>
              <c:f>Sheet12!$J$7</c:f>
              <c:strCache>
                <c:ptCount val="1"/>
                <c:pt idx="0">
                  <c:v>Total</c:v>
                </c:pt>
              </c:strCache>
            </c:strRef>
          </c:tx>
          <c:spPr>
            <a:solidFill>
              <a:schemeClr val="accent2"/>
            </a:solidFill>
            <a:ln w="19050">
              <a:solidFill>
                <a:schemeClr val="lt1"/>
              </a:solidFill>
            </a:ln>
            <a:effectLst/>
          </c:spPr>
          <c:invertIfNegative val="0"/>
          <c:cat>
            <c:strRef>
              <c:f>Sheet12!$I$8:$I$11</c:f>
              <c:strCache>
                <c:ptCount val="3"/>
                <c:pt idx="0">
                  <c:v>Card</c:v>
                </c:pt>
                <c:pt idx="1">
                  <c:v>Cash</c:v>
                </c:pt>
                <c:pt idx="2">
                  <c:v>UPI</c:v>
                </c:pt>
              </c:strCache>
            </c:strRef>
          </c:cat>
          <c:val>
            <c:numRef>
              <c:f>Sheet12!$J$8:$J$11</c:f>
              <c:numCache>
                <c:formatCode>General</c:formatCode>
                <c:ptCount val="3"/>
                <c:pt idx="0">
                  <c:v>2910</c:v>
                </c:pt>
                <c:pt idx="1">
                  <c:v>3760</c:v>
                </c:pt>
                <c:pt idx="2">
                  <c:v>2250</c:v>
                </c:pt>
              </c:numCache>
            </c:numRef>
          </c:val>
          <c:extLst>
            <c:ext xmlns:c16="http://schemas.microsoft.com/office/drawing/2014/chart" uri="{C3380CC4-5D6E-409C-BE32-E72D297353CC}">
              <c16:uniqueId val="{00000000-5BC0-46C7-BD47-D8CEF5FBED06}"/>
            </c:ext>
          </c:extLst>
        </c:ser>
        <c:dLbls>
          <c:showLegendKey val="0"/>
          <c:showVal val="0"/>
          <c:showCatName val="0"/>
          <c:showSerName val="0"/>
          <c:showPercent val="0"/>
          <c:showBubbleSize val="0"/>
        </c:dLbls>
        <c:gapWidth val="150"/>
        <c:axId val="415864976"/>
        <c:axId val="415865456"/>
      </c:barChart>
      <c:catAx>
        <c:axId val="41586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415865456"/>
        <c:crosses val="autoZero"/>
        <c:auto val="1"/>
        <c:lblAlgn val="ctr"/>
        <c:lblOffset val="100"/>
        <c:noMultiLvlLbl val="0"/>
      </c:catAx>
      <c:valAx>
        <c:axId val="4158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415864976"/>
        <c:crosses val="autoZero"/>
        <c:crossBetween val="between"/>
      </c:valAx>
      <c:spPr>
        <a:noFill/>
        <a:ln>
          <a:noFill/>
        </a:ln>
        <a:effectLst/>
      </c:spPr>
    </c:plotArea>
    <c:legend>
      <c:legendPos val="r"/>
      <c:layout>
        <c:manualLayout>
          <c:xMode val="edge"/>
          <c:yMode val="edge"/>
          <c:x val="0.77982953479571926"/>
          <c:y val="0.41570555268074061"/>
          <c:w val="0.15797199044810775"/>
          <c:h val="0.1312490990443510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sz="800"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[COZY CAFE.xlsx]Sheet12!PivotTable29</c:name>
    <c:fmtId val="3"/>
  </c:pivotSource>
  <c:chart>
    <c:title>
      <c:tx>
        <c:rich>
          <a:bodyPr rot="0" spcFirstLastPara="1" vertOverflow="ellipsis" vert="horz" wrap="square" anchor="ctr" anchorCtr="1"/>
          <a:lstStyle/>
          <a:p>
            <a:pPr algn="ctr" rtl="0">
              <a:defRPr sz="900" b="1" i="0" u="none" strike="noStrike" kern="1200" spc="0" baseline="0">
                <a:solidFill>
                  <a:schemeClr val="tx1"/>
                </a:solidFill>
                <a:latin typeface="+mn-lt"/>
                <a:ea typeface="+mn-ea"/>
                <a:cs typeface="+mn-cs"/>
              </a:defRPr>
            </a:pPr>
            <a:r>
              <a:rPr lang="en-US" sz="900" b="1">
                <a:solidFill>
                  <a:schemeClr val="tx1"/>
                </a:solidFill>
              </a:rPr>
              <a:t>TOTAL SALES IN OCTOMBER</a:t>
            </a:r>
          </a:p>
          <a:p>
            <a:pPr algn="ctr" rtl="0">
              <a:defRPr sz="900" b="1">
                <a:solidFill>
                  <a:schemeClr val="tx1"/>
                </a:solidFill>
              </a:defRPr>
            </a:pPr>
            <a:endParaRPr lang="en-US" sz="900" b="1">
              <a:solidFill>
                <a:schemeClr val="tx1"/>
              </a:solidFill>
            </a:endParaRPr>
          </a:p>
        </c:rich>
      </c:tx>
      <c:layout>
        <c:manualLayout>
          <c:xMode val="edge"/>
          <c:yMode val="edge"/>
          <c:x val="0.42455893866562872"/>
          <c:y val="8.4089287851213862E-2"/>
        </c:manualLayout>
      </c:layout>
      <c:overlay val="0"/>
      <c:spPr>
        <a:noFill/>
        <a:ln>
          <a:noFill/>
        </a:ln>
        <a:effectLst/>
      </c:spPr>
      <c:txPr>
        <a:bodyPr rot="0" spcFirstLastPara="1" vertOverflow="ellipsis" vert="horz" wrap="square" anchor="ctr" anchorCtr="1"/>
        <a:lstStyle/>
        <a:p>
          <a:pPr algn="ctr" rtl="0">
            <a:defRPr sz="9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6437781461921"/>
          <c:y val="0.41099525657345221"/>
          <c:w val="0.55754084871282472"/>
          <c:h val="0.42908746829239724"/>
        </c:manualLayout>
      </c:layout>
      <c:barChart>
        <c:barDir val="col"/>
        <c:grouping val="clustered"/>
        <c:varyColors val="0"/>
        <c:ser>
          <c:idx val="0"/>
          <c:order val="0"/>
          <c:tx>
            <c:strRef>
              <c:f>Sheet12!$K$22</c:f>
              <c:strCache>
                <c:ptCount val="1"/>
                <c:pt idx="0">
                  <c:v>Total</c:v>
                </c:pt>
              </c:strCache>
            </c:strRef>
          </c:tx>
          <c:spPr>
            <a:solidFill>
              <a:schemeClr val="accent2"/>
            </a:solidFill>
            <a:ln>
              <a:noFill/>
            </a:ln>
            <a:effectLst/>
          </c:spPr>
          <c:invertIfNegative val="0"/>
          <c:cat>
            <c:strRef>
              <c:f>Sheet12!$K$23</c:f>
              <c:strCache>
                <c:ptCount val="1"/>
                <c:pt idx="0">
                  <c:v>Total</c:v>
                </c:pt>
              </c:strCache>
            </c:strRef>
          </c:cat>
          <c:val>
            <c:numRef>
              <c:f>Sheet12!$K$23</c:f>
              <c:numCache>
                <c:formatCode>General</c:formatCode>
                <c:ptCount val="1"/>
                <c:pt idx="0">
                  <c:v>8920</c:v>
                </c:pt>
              </c:numCache>
            </c:numRef>
          </c:val>
          <c:extLst>
            <c:ext xmlns:c16="http://schemas.microsoft.com/office/drawing/2014/chart" uri="{C3380CC4-5D6E-409C-BE32-E72D297353CC}">
              <c16:uniqueId val="{00000000-EC0F-4752-B11E-FDFEF73EF8EA}"/>
            </c:ext>
          </c:extLst>
        </c:ser>
        <c:dLbls>
          <c:showLegendKey val="0"/>
          <c:showVal val="0"/>
          <c:showCatName val="0"/>
          <c:showSerName val="0"/>
          <c:showPercent val="0"/>
          <c:showBubbleSize val="0"/>
        </c:dLbls>
        <c:gapWidth val="219"/>
        <c:overlap val="-27"/>
        <c:axId val="259790192"/>
        <c:axId val="259785872"/>
      </c:barChart>
      <c:catAx>
        <c:axId val="2597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59785872"/>
        <c:crosses val="autoZero"/>
        <c:auto val="1"/>
        <c:lblAlgn val="ctr"/>
        <c:lblOffset val="100"/>
        <c:noMultiLvlLbl val="0"/>
      </c:catAx>
      <c:valAx>
        <c:axId val="25978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59790192"/>
        <c:crosses val="autoZero"/>
        <c:crossBetween val="between"/>
      </c:valAx>
      <c:spPr>
        <a:noFill/>
        <a:ln>
          <a:noFill/>
        </a:ln>
        <a:effectLst/>
      </c:spPr>
    </c:plotArea>
    <c:legend>
      <c:legendPos val="r"/>
      <c:layout>
        <c:manualLayout>
          <c:xMode val="edge"/>
          <c:yMode val="edge"/>
          <c:x val="0.80564889766237124"/>
          <c:y val="0.5370967393950975"/>
          <c:w val="0.16861165044608295"/>
          <c:h val="0.160656990775129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[COZY CAFE.xlsx]Sheet12!PivotTable14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Sheet12!$C$6</c:f>
              <c:strCache>
                <c:ptCount val="1"/>
                <c:pt idx="0">
                  <c:v>Total</c:v>
                </c:pt>
              </c:strCache>
            </c:strRef>
          </c:tx>
          <c:spPr>
            <a:solidFill>
              <a:schemeClr val="accent1"/>
            </a:solidFill>
            <a:ln>
              <a:noFill/>
            </a:ln>
            <a:effectLst/>
          </c:spPr>
          <c:invertIfNegative val="0"/>
          <c:cat>
            <c:strRef>
              <c:f>Sheet12!$B$7:$B$17</c:f>
              <c:strCache>
                <c:ptCount val="10"/>
                <c:pt idx="0">
                  <c:v>Burger</c:v>
                </c:pt>
                <c:pt idx="1">
                  <c:v>Coffee</c:v>
                </c:pt>
                <c:pt idx="2">
                  <c:v>Fries</c:v>
                </c:pt>
                <c:pt idx="3">
                  <c:v>OTHER</c:v>
                </c:pt>
                <c:pt idx="4">
                  <c:v>Pasta</c:v>
                </c:pt>
                <c:pt idx="5">
                  <c:v>Pizza</c:v>
                </c:pt>
                <c:pt idx="6">
                  <c:v>Sandwich</c:v>
                </c:pt>
                <c:pt idx="7">
                  <c:v>Tea</c:v>
                </c:pt>
                <c:pt idx="8">
                  <c:v>UNKNOWN</c:v>
                </c:pt>
                <c:pt idx="9">
                  <c:v>Wrap</c:v>
                </c:pt>
              </c:strCache>
            </c:strRef>
          </c:cat>
          <c:val>
            <c:numRef>
              <c:f>Sheet12!$C$7:$C$17</c:f>
              <c:numCache>
                <c:formatCode>General</c:formatCode>
                <c:ptCount val="10"/>
                <c:pt idx="0">
                  <c:v>1600</c:v>
                </c:pt>
                <c:pt idx="1">
                  <c:v>720</c:v>
                </c:pt>
                <c:pt idx="2">
                  <c:v>630</c:v>
                </c:pt>
                <c:pt idx="3">
                  <c:v>200</c:v>
                </c:pt>
                <c:pt idx="4">
                  <c:v>1060</c:v>
                </c:pt>
                <c:pt idx="5">
                  <c:v>1800</c:v>
                </c:pt>
                <c:pt idx="6">
                  <c:v>750</c:v>
                </c:pt>
                <c:pt idx="7">
                  <c:v>480</c:v>
                </c:pt>
                <c:pt idx="8">
                  <c:v>150</c:v>
                </c:pt>
                <c:pt idx="9">
                  <c:v>1530</c:v>
                </c:pt>
              </c:numCache>
            </c:numRef>
          </c:val>
          <c:extLst>
            <c:ext xmlns:c16="http://schemas.microsoft.com/office/drawing/2014/chart" uri="{C3380CC4-5D6E-409C-BE32-E72D297353CC}">
              <c16:uniqueId val="{00000000-49FE-46D7-93F7-56F576A5925B}"/>
            </c:ext>
          </c:extLst>
        </c:ser>
        <c:dLbls>
          <c:showLegendKey val="0"/>
          <c:showVal val="0"/>
          <c:showCatName val="0"/>
          <c:showSerName val="0"/>
          <c:showPercent val="0"/>
          <c:showBubbleSize val="0"/>
        </c:dLbls>
        <c:gapWidth val="219"/>
        <c:overlap val="-27"/>
        <c:axId val="594704688"/>
        <c:axId val="612871696"/>
      </c:barChart>
      <c:catAx>
        <c:axId val="59470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871696"/>
        <c:crosses val="autoZero"/>
        <c:auto val="1"/>
        <c:lblAlgn val="ctr"/>
        <c:lblOffset val="100"/>
        <c:noMultiLvlLbl val="0"/>
      </c:catAx>
      <c:valAx>
        <c:axId val="61287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[COZY CAFE.xlsx]Sheet12!PivotTable26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Sheet12!$S$4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E-4091-B7E6-7551B4EDC9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E-4091-B7E6-7551B4EDC9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E-4091-B7E6-7551B4EDC980}"/>
              </c:ext>
            </c:extLst>
          </c:dPt>
          <c:cat>
            <c:strRef>
              <c:f>Sheet12!$R$5:$R$8</c:f>
              <c:strCache>
                <c:ptCount val="3"/>
                <c:pt idx="0">
                  <c:v>In-store</c:v>
                </c:pt>
                <c:pt idx="1">
                  <c:v>OTHER</c:v>
                </c:pt>
                <c:pt idx="2">
                  <c:v>Takeaway</c:v>
                </c:pt>
              </c:strCache>
            </c:strRef>
          </c:cat>
          <c:val>
            <c:numRef>
              <c:f>Sheet12!$S$5:$S$8</c:f>
              <c:numCache>
                <c:formatCode>General</c:formatCode>
                <c:ptCount val="3"/>
                <c:pt idx="0">
                  <c:v>3690</c:v>
                </c:pt>
                <c:pt idx="1">
                  <c:v>200</c:v>
                </c:pt>
                <c:pt idx="2">
                  <c:v>5030</c:v>
                </c:pt>
              </c:numCache>
            </c:numRef>
          </c:val>
          <c:extLst>
            <c:ext xmlns:c16="http://schemas.microsoft.com/office/drawing/2014/chart" uri="{C3380CC4-5D6E-409C-BE32-E72D297353CC}">
              <c16:uniqueId val="{00000000-DF2F-42D0-9EAC-7C1C7C6E15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[COZY CAFE.xlsx]Sheet12!PivotTable15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Sheet12!$J$7</c:f>
              <c:strCache>
                <c:ptCount val="1"/>
                <c:pt idx="0">
                  <c:v>Total</c:v>
                </c:pt>
              </c:strCache>
            </c:strRef>
          </c:tx>
          <c:spPr>
            <a:solidFill>
              <a:schemeClr val="accent1"/>
            </a:solidFill>
            <a:ln w="19050">
              <a:solidFill>
                <a:schemeClr val="lt1"/>
              </a:solidFill>
            </a:ln>
            <a:effectLst/>
          </c:spPr>
          <c:invertIfNegative val="0"/>
          <c:cat>
            <c:strRef>
              <c:f>Sheet12!$I$8:$I$11</c:f>
              <c:strCache>
                <c:ptCount val="3"/>
                <c:pt idx="0">
                  <c:v>Card</c:v>
                </c:pt>
                <c:pt idx="1">
                  <c:v>Cash</c:v>
                </c:pt>
                <c:pt idx="2">
                  <c:v>UPI</c:v>
                </c:pt>
              </c:strCache>
            </c:strRef>
          </c:cat>
          <c:val>
            <c:numRef>
              <c:f>Sheet12!$J$8:$J$11</c:f>
              <c:numCache>
                <c:formatCode>General</c:formatCode>
                <c:ptCount val="3"/>
                <c:pt idx="0">
                  <c:v>2910</c:v>
                </c:pt>
                <c:pt idx="1">
                  <c:v>3760</c:v>
                </c:pt>
                <c:pt idx="2">
                  <c:v>2250</c:v>
                </c:pt>
              </c:numCache>
            </c:numRef>
          </c:val>
          <c:extLst>
            <c:ext xmlns:c16="http://schemas.microsoft.com/office/drawing/2014/chart" uri="{C3380CC4-5D6E-409C-BE32-E72D297353CC}">
              <c16:uniqueId val="{00000000-E68E-4751-8F79-29A9CA55FECE}"/>
            </c:ext>
          </c:extLst>
        </c:ser>
        <c:dLbls>
          <c:showLegendKey val="0"/>
          <c:showVal val="0"/>
          <c:showCatName val="0"/>
          <c:showSerName val="0"/>
          <c:showPercent val="0"/>
          <c:showBubbleSize val="0"/>
        </c:dLbls>
        <c:gapWidth val="150"/>
        <c:axId val="415864976"/>
        <c:axId val="415865456"/>
      </c:barChart>
      <c:catAx>
        <c:axId val="41586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65456"/>
        <c:crosses val="autoZero"/>
        <c:auto val="1"/>
        <c:lblAlgn val="ctr"/>
        <c:lblOffset val="100"/>
        <c:noMultiLvlLbl val="0"/>
      </c:catAx>
      <c:valAx>
        <c:axId val="4158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6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[COZY CAFE.xlsx]Sheet12!PivotTable27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Sheet12!$P$9</c:f>
              <c:strCache>
                <c:ptCount val="1"/>
                <c:pt idx="0">
                  <c:v>Total</c:v>
                </c:pt>
              </c:strCache>
            </c:strRef>
          </c:tx>
          <c:spPr>
            <a:solidFill>
              <a:schemeClr val="accent1"/>
            </a:solidFill>
            <a:ln>
              <a:noFill/>
            </a:ln>
            <a:effectLst/>
          </c:spPr>
          <c:invertIfNegative val="0"/>
          <c:cat>
            <c:strRef>
              <c:f>Sheet12!$O$10:$O$20</c:f>
              <c:strCache>
                <c:ptCount val="10"/>
                <c:pt idx="0">
                  <c:v>Burger</c:v>
                </c:pt>
                <c:pt idx="1">
                  <c:v>Coffee</c:v>
                </c:pt>
                <c:pt idx="2">
                  <c:v>Fries</c:v>
                </c:pt>
                <c:pt idx="3">
                  <c:v>OTHER</c:v>
                </c:pt>
                <c:pt idx="4">
                  <c:v>Pasta</c:v>
                </c:pt>
                <c:pt idx="5">
                  <c:v>Pizza</c:v>
                </c:pt>
                <c:pt idx="6">
                  <c:v>Sandwich</c:v>
                </c:pt>
                <c:pt idx="7">
                  <c:v>Tea</c:v>
                </c:pt>
                <c:pt idx="8">
                  <c:v>UNKNOWN</c:v>
                </c:pt>
                <c:pt idx="9">
                  <c:v>Wrap</c:v>
                </c:pt>
              </c:strCache>
            </c:strRef>
          </c:cat>
          <c:val>
            <c:numRef>
              <c:f>Sheet12!$P$10:$P$20</c:f>
              <c:numCache>
                <c:formatCode>General</c:formatCode>
                <c:ptCount val="10"/>
                <c:pt idx="0">
                  <c:v>1600</c:v>
                </c:pt>
                <c:pt idx="1">
                  <c:v>720</c:v>
                </c:pt>
                <c:pt idx="2">
                  <c:v>630</c:v>
                </c:pt>
                <c:pt idx="3">
                  <c:v>200</c:v>
                </c:pt>
                <c:pt idx="4">
                  <c:v>1060</c:v>
                </c:pt>
                <c:pt idx="5">
                  <c:v>1800</c:v>
                </c:pt>
                <c:pt idx="6">
                  <c:v>750</c:v>
                </c:pt>
                <c:pt idx="7">
                  <c:v>480</c:v>
                </c:pt>
                <c:pt idx="8">
                  <c:v>150</c:v>
                </c:pt>
                <c:pt idx="9">
                  <c:v>1530</c:v>
                </c:pt>
              </c:numCache>
            </c:numRef>
          </c:val>
          <c:extLst>
            <c:ext xmlns:c16="http://schemas.microsoft.com/office/drawing/2014/chart" uri="{C3380CC4-5D6E-409C-BE32-E72D297353CC}">
              <c16:uniqueId val="{00000000-2875-4D6D-89B1-CE61A8326F61}"/>
            </c:ext>
          </c:extLst>
        </c:ser>
        <c:dLbls>
          <c:showLegendKey val="0"/>
          <c:showVal val="0"/>
          <c:showCatName val="0"/>
          <c:showSerName val="0"/>
          <c:showPercent val="0"/>
          <c:showBubbleSize val="0"/>
        </c:dLbls>
        <c:gapWidth val="219"/>
        <c:overlap val="-27"/>
        <c:axId val="854202704"/>
        <c:axId val="854203184"/>
      </c:barChart>
      <c:catAx>
        <c:axId val="8542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203184"/>
        <c:crosses val="autoZero"/>
        <c:auto val="1"/>
        <c:lblAlgn val="ctr"/>
        <c:lblOffset val="100"/>
        <c:noMultiLvlLbl val="0"/>
      </c:catAx>
      <c:valAx>
        <c:axId val="85420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20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[COZY CAFE.xlsx]Sheet12!PivotTable29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Sheet12!$K$22</c:f>
              <c:strCache>
                <c:ptCount val="1"/>
                <c:pt idx="0">
                  <c:v>Total</c:v>
                </c:pt>
              </c:strCache>
            </c:strRef>
          </c:tx>
          <c:spPr>
            <a:solidFill>
              <a:schemeClr val="accent1"/>
            </a:solidFill>
            <a:ln>
              <a:noFill/>
            </a:ln>
            <a:effectLst/>
          </c:spPr>
          <c:invertIfNegative val="0"/>
          <c:cat>
            <c:strRef>
              <c:f>Sheet12!$K$23</c:f>
              <c:strCache>
                <c:ptCount val="1"/>
                <c:pt idx="0">
                  <c:v>Total</c:v>
                </c:pt>
              </c:strCache>
            </c:strRef>
          </c:cat>
          <c:val>
            <c:numRef>
              <c:f>Sheet12!$K$23</c:f>
              <c:numCache>
                <c:formatCode>General</c:formatCode>
                <c:ptCount val="1"/>
                <c:pt idx="0">
                  <c:v>8920</c:v>
                </c:pt>
              </c:numCache>
            </c:numRef>
          </c:val>
          <c:extLst>
            <c:ext xmlns:c16="http://schemas.microsoft.com/office/drawing/2014/chart" uri="{C3380CC4-5D6E-409C-BE32-E72D297353CC}">
              <c16:uniqueId val="{00000000-3ECB-4674-9F50-E99E6EB21B0A}"/>
            </c:ext>
          </c:extLst>
        </c:ser>
        <c:dLbls>
          <c:showLegendKey val="0"/>
          <c:showVal val="0"/>
          <c:showCatName val="0"/>
          <c:showSerName val="0"/>
          <c:showPercent val="0"/>
          <c:showBubbleSize val="0"/>
        </c:dLbls>
        <c:gapWidth val="219"/>
        <c:overlap val="-27"/>
        <c:axId val="259790192"/>
        <c:axId val="259785872"/>
      </c:barChart>
      <c:catAx>
        <c:axId val="2597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85872"/>
        <c:crosses val="autoZero"/>
        <c:auto val="1"/>
        <c:lblAlgn val="ctr"/>
        <c:lblOffset val="100"/>
        <c:noMultiLvlLbl val="0"/>
      </c:catAx>
      <c:valAx>
        <c:axId val="25978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79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12</xdr:col>
      <xdr:colOff>193729</xdr:colOff>
      <xdr:row>9</xdr:row>
      <xdr:rowOff>150678</xdr:rowOff>
    </xdr:from>
    <xdr:to>
      <xdr:col>18</xdr:col>
      <xdr:colOff>656522</xdr:colOff>
      <xdr:row>17</xdr:row>
      <xdr:rowOff>118388</xdr:rowOff>
    </xdr:to>
    <mc:AlternateContent xmlns:mc="http://schemas.openxmlformats.org/markup-compatibility/2006" xmlns:sle15="http://schemas.microsoft.com/office/drawing/2012/slicer">
      <mc:Choice Requires="sle15">
        <xdr:graphicFrame macro="">
          <xdr:nvGraphicFramePr>
            <xdr:cNvPr id="4" name="Item Name">
              <a:extLst>
                <a:ext uri="{FF2B5EF4-FFF2-40B4-BE49-F238E27FC236}">
                  <a16:creationId xmlns:a16="http://schemas.microsoft.com/office/drawing/2014/main" id="{0AB94361-176D-E2F6-3BBE-C7234FC09748}"/>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2140339" y="2475424"/>
              <a:ext cx="7619997" cy="186194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194707</xdr:colOff>
      <xdr:row>1</xdr:row>
      <xdr:rowOff>312117</xdr:rowOff>
    </xdr:from>
    <xdr:to>
      <xdr:col>18</xdr:col>
      <xdr:colOff>559661</xdr:colOff>
      <xdr:row>9</xdr:row>
      <xdr:rowOff>43051</xdr:rowOff>
    </xdr:to>
    <mc:AlternateContent xmlns:mc="http://schemas.openxmlformats.org/markup-compatibility/2006" xmlns:sle15="http://schemas.microsoft.com/office/drawing/2012/slicer">
      <mc:Choice Requires="sle15">
        <xdr:graphicFrame macro="">
          <xdr:nvGraphicFramePr>
            <xdr:cNvPr id="3" name="Price per Unit">
              <a:extLst>
                <a:ext uri="{FF2B5EF4-FFF2-40B4-BE49-F238E27FC236}">
                  <a16:creationId xmlns:a16="http://schemas.microsoft.com/office/drawing/2014/main" id="{0684920C-566C-CCF2-2BF5-4DA376AB95ED}"/>
                </a:ext>
              </a:extLst>
            </xdr:cNvPr>
            <xdr:cNvGraphicFramePr/>
          </xdr:nvGraphicFramePr>
          <xdr:xfrm>
            <a:off x="0" y="0"/>
            <a:ext cx="0" cy="0"/>
          </xdr:xfrm>
          <a:graphic>
            <a:graphicData uri="http://schemas.microsoft.com/office/drawing/2010/slicer">
              <sle:slicer xmlns:sle="http://schemas.microsoft.com/office/drawing/2010/slicer" name="Price per Unit"/>
            </a:graphicData>
          </a:graphic>
        </xdr:graphicFrame>
      </mc:Choice>
      <mc:Fallback xmlns="">
        <xdr:sp macro="" textlink="">
          <xdr:nvSpPr>
            <xdr:cNvPr id="0" name=""/>
            <xdr:cNvSpPr>
              <a:spLocks noTextEdit="1"/>
            </xdr:cNvSpPr>
          </xdr:nvSpPr>
          <xdr:spPr>
            <a:xfrm>
              <a:off x="12141317" y="495083"/>
              <a:ext cx="7522158" cy="187271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193729</xdr:colOff>
      <xdr:row>26</xdr:row>
      <xdr:rowOff>38551</xdr:rowOff>
    </xdr:from>
    <xdr:to>
      <xdr:col>18</xdr:col>
      <xdr:colOff>688813</xdr:colOff>
      <xdr:row>33</xdr:row>
      <xdr:rowOff>150678</xdr:rowOff>
    </xdr:to>
    <mc:AlternateContent xmlns:mc="http://schemas.openxmlformats.org/markup-compatibility/2006" xmlns:sle15="http://schemas.microsoft.com/office/drawing/2012/slicer">
      <mc:Choice Requires="sle15">
        <xdr:graphicFrame macro="">
          <xdr:nvGraphicFramePr>
            <xdr:cNvPr id="5" name="Payment Method">
              <a:extLst>
                <a:ext uri="{FF2B5EF4-FFF2-40B4-BE49-F238E27FC236}">
                  <a16:creationId xmlns:a16="http://schemas.microsoft.com/office/drawing/2014/main" id="{37B9E5AD-D5C3-01C1-44CB-69BA3722A74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140339" y="6388551"/>
              <a:ext cx="7652288" cy="176958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193729</xdr:colOff>
      <xdr:row>18</xdr:row>
      <xdr:rowOff>10763</xdr:rowOff>
    </xdr:from>
    <xdr:to>
      <xdr:col>18</xdr:col>
      <xdr:colOff>688812</xdr:colOff>
      <xdr:row>25</xdr:row>
      <xdr:rowOff>21526</xdr:rowOff>
    </xdr:to>
    <mc:AlternateContent xmlns:mc="http://schemas.openxmlformats.org/markup-compatibility/2006" xmlns:sle15="http://schemas.microsoft.com/office/drawing/2012/slicer">
      <mc:Choice Requires="sle15">
        <xdr:graphicFrame macro="">
          <xdr:nvGraphicFramePr>
            <xdr:cNvPr id="6" name="Order Location">
              <a:extLst>
                <a:ext uri="{FF2B5EF4-FFF2-40B4-BE49-F238E27FC236}">
                  <a16:creationId xmlns:a16="http://schemas.microsoft.com/office/drawing/2014/main" id="{6DB86B81-B662-F480-4E4D-B3CB885E0A99}"/>
                </a:ext>
              </a:extLst>
            </xdr:cNvPr>
            <xdr:cNvGraphicFramePr/>
          </xdr:nvGraphicFramePr>
          <xdr:xfrm>
            <a:off x="0" y="0"/>
            <a:ext cx="0" cy="0"/>
          </xdr:xfrm>
          <a:graphic>
            <a:graphicData uri="http://schemas.microsoft.com/office/drawing/2010/slicer">
              <sle:slicer xmlns:sle="http://schemas.microsoft.com/office/drawing/2010/slicer" name="Order Location"/>
            </a:graphicData>
          </a:graphic>
        </xdr:graphicFrame>
      </mc:Choice>
      <mc:Fallback xmlns="">
        <xdr:sp macro="" textlink="">
          <xdr:nvSpPr>
            <xdr:cNvPr id="0" name=""/>
            <xdr:cNvSpPr>
              <a:spLocks noTextEdit="1"/>
            </xdr:cNvSpPr>
          </xdr:nvSpPr>
          <xdr:spPr>
            <a:xfrm>
              <a:off x="12140339" y="4466526"/>
              <a:ext cx="7652287" cy="16682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304800</xdr:colOff>
      <xdr:row>0</xdr:row>
      <xdr:rowOff>63500</xdr:rowOff>
    </xdr:from>
    <xdr:to>
      <xdr:col>19</xdr:col>
      <xdr:colOff>139581</xdr:colOff>
      <xdr:row>4</xdr:row>
      <xdr:rowOff>6349</xdr:rowOff>
    </xdr:to>
    <xdr:sp macro="" textlink="">
      <xdr:nvSpPr>
        <xdr:cNvPr id="3" name="Rectangle: Rounded Corners 2">
          <a:extLst>
            <a:ext uri="{FF2B5EF4-FFF2-40B4-BE49-F238E27FC236}">
              <a16:creationId xmlns:a16="http://schemas.microsoft.com/office/drawing/2014/main" id="{466D97B6-B5BB-A53C-C173-E8A6D7963504}"/>
            </a:ext>
          </a:extLst>
        </xdr:cNvPr>
        <xdr:cNvSpPr/>
      </xdr:nvSpPr>
      <xdr:spPr>
        <a:xfrm>
          <a:off x="9448800" y="63500"/>
          <a:ext cx="2273181" cy="679449"/>
        </a:xfrm>
        <a:prstGeom prst="roundRect">
          <a:avLst>
            <a:gd name="adj" fmla="val 36454"/>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tx1"/>
              </a:solidFill>
              <a:latin typeface="+mn-lt"/>
              <a:ea typeface="+mn-ea"/>
              <a:cs typeface="+mn-cs"/>
            </a:rPr>
            <a:t>TOP SELLING PRODUCT:</a:t>
          </a:r>
        </a:p>
        <a:p>
          <a:pPr marL="0" indent="0" algn="ctr"/>
          <a:r>
            <a:rPr lang="en-IN" sz="1400" b="1">
              <a:solidFill>
                <a:schemeClr val="tx1"/>
              </a:solidFill>
              <a:latin typeface="+mn-lt"/>
              <a:ea typeface="+mn-ea"/>
              <a:cs typeface="+mn-cs"/>
            </a:rPr>
            <a:t>pizza</a:t>
          </a:r>
        </a:p>
      </xdr:txBody>
    </xdr:sp>
    <xdr:clientData/>
  </xdr:twoCellAnchor>
  <xdr:twoCellAnchor>
    <xdr:from>
      <xdr:col>12</xdr:col>
      <xdr:colOff>155774</xdr:colOff>
      <xdr:row>0</xdr:row>
      <xdr:rowOff>95250</xdr:rowOff>
    </xdr:from>
    <xdr:to>
      <xdr:col>15</xdr:col>
      <xdr:colOff>285750</xdr:colOff>
      <xdr:row>4</xdr:row>
      <xdr:rowOff>31750</xdr:rowOff>
    </xdr:to>
    <xdr:sp macro="" textlink="">
      <xdr:nvSpPr>
        <xdr:cNvPr id="11" name="Rectangle: Rounded Corners 10">
          <a:extLst>
            <a:ext uri="{FF2B5EF4-FFF2-40B4-BE49-F238E27FC236}">
              <a16:creationId xmlns:a16="http://schemas.microsoft.com/office/drawing/2014/main" id="{19200033-AB1A-4F3F-8004-86E5B81CF883}"/>
            </a:ext>
          </a:extLst>
        </xdr:cNvPr>
        <xdr:cNvSpPr/>
      </xdr:nvSpPr>
      <xdr:spPr>
        <a:xfrm>
          <a:off x="7470974" y="95250"/>
          <a:ext cx="1958776" cy="673100"/>
        </a:xfrm>
        <a:prstGeom prst="roundRect">
          <a:avLst>
            <a:gd name="adj" fmla="val 35366"/>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tx1"/>
              </a:solidFill>
              <a:latin typeface="+mn-lt"/>
              <a:ea typeface="+mn-ea"/>
              <a:cs typeface="+mn-cs"/>
            </a:rPr>
            <a:t>TOTAL SALES: </a:t>
          </a:r>
        </a:p>
        <a:p>
          <a:pPr marL="0" indent="0" algn="ctr"/>
          <a:r>
            <a:rPr lang="en-IN" sz="1400" b="1">
              <a:solidFill>
                <a:schemeClr val="tx1"/>
              </a:solidFill>
              <a:latin typeface="+mn-lt"/>
              <a:ea typeface="+mn-ea"/>
              <a:cs typeface="+mn-cs"/>
            </a:rPr>
            <a:t>8920</a:t>
          </a:r>
        </a:p>
      </xdr:txBody>
    </xdr:sp>
    <xdr:clientData/>
  </xdr:twoCellAnchor>
  <xdr:twoCellAnchor>
    <xdr:from>
      <xdr:col>8</xdr:col>
      <xdr:colOff>374650</xdr:colOff>
      <xdr:row>0</xdr:row>
      <xdr:rowOff>63500</xdr:rowOff>
    </xdr:from>
    <xdr:to>
      <xdr:col>12</xdr:col>
      <xdr:colOff>133350</xdr:colOff>
      <xdr:row>4</xdr:row>
      <xdr:rowOff>12700</xdr:rowOff>
    </xdr:to>
    <xdr:sp macro="" textlink="">
      <xdr:nvSpPr>
        <xdr:cNvPr id="12" name="Rectangle: Rounded Corners 11">
          <a:extLst>
            <a:ext uri="{FF2B5EF4-FFF2-40B4-BE49-F238E27FC236}">
              <a16:creationId xmlns:a16="http://schemas.microsoft.com/office/drawing/2014/main" id="{5CA0D965-57C8-CC91-3350-714B2DB65BD6}"/>
            </a:ext>
          </a:extLst>
        </xdr:cNvPr>
        <xdr:cNvSpPr/>
      </xdr:nvSpPr>
      <xdr:spPr>
        <a:xfrm>
          <a:off x="5251450" y="63500"/>
          <a:ext cx="2197100" cy="685800"/>
        </a:xfrm>
        <a:prstGeom prst="roundRect">
          <a:avLst>
            <a:gd name="adj" fmla="val 38026"/>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tx1"/>
              </a:solidFill>
              <a:latin typeface="+mn-lt"/>
              <a:ea typeface="+mn-ea"/>
              <a:cs typeface="+mn-cs"/>
            </a:rPr>
            <a:t>TOTAL ITEMS SOLD:</a:t>
          </a:r>
        </a:p>
        <a:p>
          <a:pPr marL="0" indent="0" algn="ctr"/>
          <a:r>
            <a:rPr lang="en-IN" sz="1400" b="1">
              <a:solidFill>
                <a:schemeClr val="tx1"/>
              </a:solidFill>
              <a:latin typeface="+mn-lt"/>
              <a:ea typeface="+mn-ea"/>
              <a:cs typeface="+mn-cs"/>
            </a:rPr>
            <a:t>D60</a:t>
          </a:r>
        </a:p>
        <a:p>
          <a:pPr algn="l"/>
          <a:endParaRPr lang="en-IN" sz="800" b="1">
            <a:latin typeface="Arial Rounded MT Bold" panose="020F0704030504030204" pitchFamily="34" charset="0"/>
          </a:endParaRPr>
        </a:p>
        <a:p>
          <a:pPr algn="l"/>
          <a:r>
            <a:rPr lang="en-IN" sz="800" b="1">
              <a:latin typeface="Arial Rounded MT Bold" panose="020F0704030504030204" pitchFamily="34" charset="0"/>
            </a:rPr>
            <a:t> </a:t>
          </a:r>
        </a:p>
      </xdr:txBody>
    </xdr:sp>
    <xdr:clientData/>
  </xdr:twoCellAnchor>
  <xdr:twoCellAnchor>
    <xdr:from>
      <xdr:col>0</xdr:col>
      <xdr:colOff>65246</xdr:colOff>
      <xdr:row>13</xdr:row>
      <xdr:rowOff>171450</xdr:rowOff>
    </xdr:from>
    <xdr:to>
      <xdr:col>5</xdr:col>
      <xdr:colOff>349250</xdr:colOff>
      <xdr:row>25</xdr:row>
      <xdr:rowOff>34398</xdr:rowOff>
    </xdr:to>
    <xdr:graphicFrame macro="">
      <xdr:nvGraphicFramePr>
        <xdr:cNvPr id="17" name="Chart 16">
          <a:extLst>
            <a:ext uri="{FF2B5EF4-FFF2-40B4-BE49-F238E27FC236}">
              <a16:creationId xmlns:a16="http://schemas.microsoft.com/office/drawing/2014/main" id="{144C5916-6F2E-4EB8-A4FC-9B7EE6753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421275</xdr:colOff>
      <xdr:row>13</xdr:row>
      <xdr:rowOff>155242</xdr:rowOff>
    </xdr:from>
    <xdr:to>
      <xdr:col>11</xdr:col>
      <xdr:colOff>78375</xdr:colOff>
      <xdr:row>25</xdr:row>
      <xdr:rowOff>47292</xdr:rowOff>
    </xdr:to>
    <xdr:graphicFrame macro="">
      <xdr:nvGraphicFramePr>
        <xdr:cNvPr id="20" name="Chart 19">
          <a:extLst>
            <a:ext uri="{FF2B5EF4-FFF2-40B4-BE49-F238E27FC236}">
              <a16:creationId xmlns:a16="http://schemas.microsoft.com/office/drawing/2014/main" id="{F31833A9-15E9-4289-BBA7-C69DB05ED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4</xdr:row>
      <xdr:rowOff>69850</xdr:rowOff>
    </xdr:from>
    <xdr:to>
      <xdr:col>5</xdr:col>
      <xdr:colOff>336549</xdr:colOff>
      <xdr:row>13</xdr:row>
      <xdr:rowOff>95250</xdr:rowOff>
    </xdr:to>
    <xdr:graphicFrame macro="">
      <xdr:nvGraphicFramePr>
        <xdr:cNvPr id="21" name="Chart 20">
          <a:extLst>
            <a:ext uri="{FF2B5EF4-FFF2-40B4-BE49-F238E27FC236}">
              <a16:creationId xmlns:a16="http://schemas.microsoft.com/office/drawing/2014/main" id="{E13FC6E6-F4F6-4392-9AFB-DCA00F39C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22940</xdr:colOff>
      <xdr:row>12</xdr:row>
      <xdr:rowOff>139700</xdr:rowOff>
    </xdr:from>
    <xdr:to>
      <xdr:col>19</xdr:col>
      <xdr:colOff>120650</xdr:colOff>
      <xdr:row>24</xdr:row>
      <xdr:rowOff>114299</xdr:rowOff>
    </xdr:to>
    <mc:AlternateContent xmlns:mc="http://schemas.openxmlformats.org/markup-compatibility/2006" xmlns:a14="http://schemas.microsoft.com/office/drawing/2010/main">
      <mc:Choice Requires="a14">
        <xdr:graphicFrame macro="">
          <xdr:nvGraphicFramePr>
            <xdr:cNvPr id="23" name="Item Name 1">
              <a:extLst>
                <a:ext uri="{FF2B5EF4-FFF2-40B4-BE49-F238E27FC236}">
                  <a16:creationId xmlns:a16="http://schemas.microsoft.com/office/drawing/2014/main" id="{D76BD691-AFA0-F98C-6703-C23EF6BD7AC3}"/>
                </a:ext>
              </a:extLst>
            </xdr:cNvPr>
            <xdr:cNvGraphicFramePr/>
          </xdr:nvGraphicFramePr>
          <xdr:xfrm>
            <a:off x="0" y="0"/>
            <a:ext cx="0" cy="0"/>
          </xdr:xfrm>
          <a:graphic>
            <a:graphicData uri="http://schemas.microsoft.com/office/drawing/2010/slicer">
              <sle:slicer xmlns:sle="http://schemas.microsoft.com/office/drawing/2010/slicer" name="Item Name 1"/>
            </a:graphicData>
          </a:graphic>
        </xdr:graphicFrame>
      </mc:Choice>
      <mc:Fallback xmlns="">
        <xdr:sp macro="" textlink="">
          <xdr:nvSpPr>
            <xdr:cNvPr id="0" name=""/>
            <xdr:cNvSpPr>
              <a:spLocks noTextEdit="1"/>
            </xdr:cNvSpPr>
          </xdr:nvSpPr>
          <xdr:spPr>
            <a:xfrm>
              <a:off x="9776540" y="2349500"/>
              <a:ext cx="1926510" cy="218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114298</xdr:colOff>
      <xdr:row>4</xdr:row>
      <xdr:rowOff>139698</xdr:rowOff>
    </xdr:from>
    <xdr:to>
      <xdr:col>15</xdr:col>
      <xdr:colOff>520700</xdr:colOff>
      <xdr:row>15</xdr:row>
      <xdr:rowOff>25400</xdr:rowOff>
    </xdr:to>
    <mc:AlternateContent xmlns:mc="http://schemas.openxmlformats.org/markup-compatibility/2006" xmlns:a14="http://schemas.microsoft.com/office/drawing/2010/main">
      <mc:Choice Requires="a14">
        <xdr:graphicFrame macro="">
          <xdr:nvGraphicFramePr>
            <xdr:cNvPr id="24" name="Total Spent">
              <a:extLst>
                <a:ext uri="{FF2B5EF4-FFF2-40B4-BE49-F238E27FC236}">
                  <a16:creationId xmlns:a16="http://schemas.microsoft.com/office/drawing/2014/main" id="{4E20C7B7-5FD8-0ABF-C174-FAC86F0F9B11}"/>
                </a:ext>
              </a:extLst>
            </xdr:cNvPr>
            <xdr:cNvGraphicFramePr/>
          </xdr:nvGraphicFramePr>
          <xdr:xfrm>
            <a:off x="0" y="0"/>
            <a:ext cx="0" cy="0"/>
          </xdr:xfrm>
          <a:graphic>
            <a:graphicData uri="http://schemas.microsoft.com/office/drawing/2010/slicer">
              <sle:slicer xmlns:sle="http://schemas.microsoft.com/office/drawing/2010/slicer" name="Total Spent"/>
            </a:graphicData>
          </a:graphic>
        </xdr:graphicFrame>
      </mc:Choice>
      <mc:Fallback xmlns="">
        <xdr:sp macro="" textlink="">
          <xdr:nvSpPr>
            <xdr:cNvPr id="0" name=""/>
            <xdr:cNvSpPr>
              <a:spLocks noTextEdit="1"/>
            </xdr:cNvSpPr>
          </xdr:nvSpPr>
          <xdr:spPr>
            <a:xfrm>
              <a:off x="6819898" y="876298"/>
              <a:ext cx="2844802" cy="1911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15</xdr:row>
      <xdr:rowOff>165100</xdr:rowOff>
    </xdr:from>
    <xdr:to>
      <xdr:col>15</xdr:col>
      <xdr:colOff>538371</xdr:colOff>
      <xdr:row>24</xdr:row>
      <xdr:rowOff>101600</xdr:rowOff>
    </xdr:to>
    <mc:AlternateContent xmlns:mc="http://schemas.openxmlformats.org/markup-compatibility/2006" xmlns:a14="http://schemas.microsoft.com/office/drawing/2010/main">
      <mc:Choice Requires="a14">
        <xdr:graphicFrame macro="">
          <xdr:nvGraphicFramePr>
            <xdr:cNvPr id="25" name="Payment Method 1">
              <a:extLst>
                <a:ext uri="{FF2B5EF4-FFF2-40B4-BE49-F238E27FC236}">
                  <a16:creationId xmlns:a16="http://schemas.microsoft.com/office/drawing/2014/main" id="{47CC7C77-F167-E306-BF7E-93B4CF76128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6838950" y="2927350"/>
              <a:ext cx="2843421" cy="1593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577850</xdr:colOff>
      <xdr:row>4</xdr:row>
      <xdr:rowOff>139700</xdr:rowOff>
    </xdr:from>
    <xdr:to>
      <xdr:col>19</xdr:col>
      <xdr:colOff>114300</xdr:colOff>
      <xdr:row>11</xdr:row>
      <xdr:rowOff>152400</xdr:rowOff>
    </xdr:to>
    <mc:AlternateContent xmlns:mc="http://schemas.openxmlformats.org/markup-compatibility/2006" xmlns:a14="http://schemas.microsoft.com/office/drawing/2010/main">
      <mc:Choice Requires="a14">
        <xdr:graphicFrame macro="">
          <xdr:nvGraphicFramePr>
            <xdr:cNvPr id="26" name="Order Location 1">
              <a:extLst>
                <a:ext uri="{FF2B5EF4-FFF2-40B4-BE49-F238E27FC236}">
                  <a16:creationId xmlns:a16="http://schemas.microsoft.com/office/drawing/2014/main" id="{E0624B5B-89AC-B16F-53F4-4A467E3AC549}"/>
                </a:ext>
              </a:extLst>
            </xdr:cNvPr>
            <xdr:cNvGraphicFramePr/>
          </xdr:nvGraphicFramePr>
          <xdr:xfrm>
            <a:off x="0" y="0"/>
            <a:ext cx="0" cy="0"/>
          </xdr:xfrm>
          <a:graphic>
            <a:graphicData uri="http://schemas.microsoft.com/office/drawing/2010/slicer">
              <sle:slicer xmlns:sle="http://schemas.microsoft.com/office/drawing/2010/slicer" name="Order Location 1"/>
            </a:graphicData>
          </a:graphic>
        </xdr:graphicFrame>
      </mc:Choice>
      <mc:Fallback xmlns="">
        <xdr:sp macro="" textlink="">
          <xdr:nvSpPr>
            <xdr:cNvPr id="0" name=""/>
            <xdr:cNvSpPr>
              <a:spLocks noTextEdit="1"/>
            </xdr:cNvSpPr>
          </xdr:nvSpPr>
          <xdr:spPr>
            <a:xfrm>
              <a:off x="9721850" y="876300"/>
              <a:ext cx="1974850"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393700</xdr:colOff>
      <xdr:row>4</xdr:row>
      <xdr:rowOff>63500</xdr:rowOff>
    </xdr:from>
    <xdr:to>
      <xdr:col>11</xdr:col>
      <xdr:colOff>63500</xdr:colOff>
      <xdr:row>13</xdr:row>
      <xdr:rowOff>69850</xdr:rowOff>
    </xdr:to>
    <xdr:graphicFrame macro="">
      <xdr:nvGraphicFramePr>
        <xdr:cNvPr id="27" name="Chart 26">
          <a:extLst>
            <a:ext uri="{FF2B5EF4-FFF2-40B4-BE49-F238E27FC236}">
              <a16:creationId xmlns:a16="http://schemas.microsoft.com/office/drawing/2014/main" id="{BCC9DB6B-2DFE-4C75-8C0F-CC4428AE6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273051</xdr:colOff>
      <xdr:row>70</xdr:row>
      <xdr:rowOff>7938</xdr:rowOff>
    </xdr:from>
    <xdr:to>
      <xdr:col>69</xdr:col>
      <xdr:colOff>120650</xdr:colOff>
      <xdr:row>90</xdr:row>
      <xdr:rowOff>130175</xdr:rowOff>
    </xdr:to>
    <xdr:sp macro="" textlink="">
      <xdr:nvSpPr>
        <xdr:cNvPr id="28" name="Rectangle 27">
          <a:extLst>
            <a:ext uri="{FF2B5EF4-FFF2-40B4-BE49-F238E27FC236}">
              <a16:creationId xmlns:a16="http://schemas.microsoft.com/office/drawing/2014/main" id="{EB54121F-2151-8C7A-D037-BA84F0825030}"/>
            </a:ext>
          </a:extLst>
        </xdr:cNvPr>
        <xdr:cNvSpPr/>
      </xdr:nvSpPr>
      <xdr:spPr>
        <a:xfrm>
          <a:off x="25276176" y="14295438"/>
          <a:ext cx="15921037" cy="766286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69851</xdr:colOff>
      <xdr:row>0</xdr:row>
      <xdr:rowOff>69850</xdr:rowOff>
    </xdr:from>
    <xdr:to>
      <xdr:col>8</xdr:col>
      <xdr:colOff>330201</xdr:colOff>
      <xdr:row>4</xdr:row>
      <xdr:rowOff>6350</xdr:rowOff>
    </xdr:to>
    <xdr:sp macro="" textlink="">
      <xdr:nvSpPr>
        <xdr:cNvPr id="5" name="Rectangle: Rounded Corners 4">
          <a:extLst>
            <a:ext uri="{FF2B5EF4-FFF2-40B4-BE49-F238E27FC236}">
              <a16:creationId xmlns:a16="http://schemas.microsoft.com/office/drawing/2014/main" id="{170C838E-D1F9-B0F1-5F6B-7E89CD558B06}"/>
            </a:ext>
          </a:extLst>
        </xdr:cNvPr>
        <xdr:cNvSpPr/>
      </xdr:nvSpPr>
      <xdr:spPr>
        <a:xfrm>
          <a:off x="69851" y="69850"/>
          <a:ext cx="5137150" cy="67310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2800" b="1">
              <a:latin typeface="Century" panose="02040604050505020304" pitchFamily="18" charset="0"/>
            </a:rPr>
            <a:t>cozy cafe sales (octomber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842309</xdr:colOff>
      <xdr:row>18</xdr:row>
      <xdr:rowOff>121397</xdr:rowOff>
    </xdr:from>
    <xdr:to>
      <xdr:col>5</xdr:col>
      <xdr:colOff>177428</xdr:colOff>
      <xdr:row>29</xdr:row>
      <xdr:rowOff>162299</xdr:rowOff>
    </xdr:to>
    <xdr:graphicFrame macro="">
      <xdr:nvGraphicFramePr>
        <xdr:cNvPr id="2" name="Chart 1">
          <a:extLst>
            <a:ext uri="{FF2B5EF4-FFF2-40B4-BE49-F238E27FC236}">
              <a16:creationId xmlns:a16="http://schemas.microsoft.com/office/drawing/2014/main" id="{61DBA6BD-BE8A-7E19-E7BA-7F923519A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593601</xdr:colOff>
      <xdr:row>18</xdr:row>
      <xdr:rowOff>164539</xdr:rowOff>
    </xdr:from>
    <xdr:to>
      <xdr:col>20</xdr:col>
      <xdr:colOff>399055</xdr:colOff>
      <xdr:row>29</xdr:row>
      <xdr:rowOff>37353</xdr:rowOff>
    </xdr:to>
    <xdr:graphicFrame macro="">
      <xdr:nvGraphicFramePr>
        <xdr:cNvPr id="4" name="Chart 3">
          <a:extLst>
            <a:ext uri="{FF2B5EF4-FFF2-40B4-BE49-F238E27FC236}">
              <a16:creationId xmlns:a16="http://schemas.microsoft.com/office/drawing/2014/main" id="{F21282A5-B14C-01A8-D2FC-03A0C7DAF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812739</xdr:colOff>
      <xdr:row>1</xdr:row>
      <xdr:rowOff>119716</xdr:rowOff>
    </xdr:from>
    <xdr:to>
      <xdr:col>23</xdr:col>
      <xdr:colOff>346449</xdr:colOff>
      <xdr:row>16</xdr:row>
      <xdr:rowOff>68294</xdr:rowOff>
    </xdr:to>
    <xdr:graphicFrame macro="">
      <xdr:nvGraphicFramePr>
        <xdr:cNvPr id="5" name="Chart 4">
          <a:extLst>
            <a:ext uri="{FF2B5EF4-FFF2-40B4-BE49-F238E27FC236}">
              <a16:creationId xmlns:a16="http://schemas.microsoft.com/office/drawing/2014/main" id="{10C3E37B-E693-24DA-6E4E-F542553C1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552823</xdr:colOff>
      <xdr:row>0</xdr:row>
      <xdr:rowOff>15128</xdr:rowOff>
    </xdr:from>
    <xdr:to>
      <xdr:col>15</xdr:col>
      <xdr:colOff>56029</xdr:colOff>
      <xdr:row>6</xdr:row>
      <xdr:rowOff>140073</xdr:rowOff>
    </xdr:to>
    <xdr:graphicFrame macro="">
      <xdr:nvGraphicFramePr>
        <xdr:cNvPr id="6" name="Chart 5">
          <a:extLst>
            <a:ext uri="{FF2B5EF4-FFF2-40B4-BE49-F238E27FC236}">
              <a16:creationId xmlns:a16="http://schemas.microsoft.com/office/drawing/2014/main" id="{651B8E11-5306-0551-5A59-A6ABED62E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552824</xdr:colOff>
      <xdr:row>20</xdr:row>
      <xdr:rowOff>43143</xdr:rowOff>
    </xdr:from>
    <xdr:to>
      <xdr:col>14</xdr:col>
      <xdr:colOff>999191</xdr:colOff>
      <xdr:row>29</xdr:row>
      <xdr:rowOff>130736</xdr:rowOff>
    </xdr:to>
    <xdr:graphicFrame macro="">
      <xdr:nvGraphicFramePr>
        <xdr:cNvPr id="7" name="Chart 6">
          <a:extLst>
            <a:ext uri="{FF2B5EF4-FFF2-40B4-BE49-F238E27FC236}">
              <a16:creationId xmlns:a16="http://schemas.microsoft.com/office/drawing/2014/main" id="{59A90875-CE8C-7704-03F9-8E0F7E9BB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138.811682291664" createdVersion="8" refreshedVersion="8" minRefreshableVersion="3" recordCount="31" xr:uid="{4A35ED98-F9BF-484E-AD50-EF604C9E276C}">
  <cacheSource type="worksheet">
    <worksheetSource name="Table1"/>
  </cacheSource>
  <cacheFields count="11">
    <cacheField name="Transaction ID" numFmtId="0">
      <sharedItems/>
    </cacheField>
    <cacheField name="Item Name" numFmtId="0">
      <sharedItems count="10">
        <s v="Coffee"/>
        <s v="Tea"/>
        <s v="Sandwich"/>
        <s v="Burger"/>
        <s v="Pizza"/>
        <s v="OTHER"/>
        <s v="Pasta"/>
        <s v="Wrap"/>
        <s v="Fries"/>
        <s v="UNKNOWN"/>
      </sharedItems>
    </cacheField>
    <cacheField name="Quantity" numFmtId="0">
      <sharedItems containsSemiMixedTypes="0" containsString="0" containsNumber="1" containsInteger="1" minValue="1" maxValue="3" count="3">
        <n v="2"/>
        <n v="3"/>
        <n v="1"/>
      </sharedItems>
    </cacheField>
    <cacheField name="Price per Unit" numFmtId="0">
      <sharedItems containsSemiMixedTypes="0" containsString="0" containsNumber="1" containsInteger="1" minValue="60" maxValue="300"/>
    </cacheField>
    <cacheField name="Total Spent" numFmtId="0">
      <sharedItems containsSemiMixedTypes="0" containsString="0" containsNumber="1" containsInteger="1" minValue="60" maxValue="600" count="14">
        <n v="240"/>
        <n v="180"/>
        <n v="150"/>
        <n v="400"/>
        <n v="300"/>
        <n v="200"/>
        <n v="440"/>
        <n v="450"/>
        <n v="120"/>
        <n v="600"/>
        <n v="360"/>
        <n v="270"/>
        <n v="60"/>
        <n v="220"/>
      </sharedItems>
    </cacheField>
    <cacheField name="Payment Method" numFmtId="0">
      <sharedItems count="3">
        <s v="Cash"/>
        <s v="Card"/>
        <s v="UPI"/>
      </sharedItems>
    </cacheField>
    <cacheField name="Order Location" numFmtId="0">
      <sharedItems count="3">
        <s v="In-store"/>
        <s v="Takeaway"/>
        <s v="OTHER"/>
      </sharedItems>
    </cacheField>
    <cacheField name="Transaction Date" numFmtId="14">
      <sharedItems containsSemiMixedTypes="0" containsNonDate="0" containsDate="1" containsString="0" minDate="2024-10-01T00:00:00" maxDate="2024-11-01T00:00:00"/>
    </cacheField>
    <cacheField name="Date" numFmtId="0">
      <sharedItems containsSemiMixedTypes="0" containsString="0" containsNumber="1" containsInteger="1" minValue="1" maxValue="31"/>
    </cacheField>
    <cacheField name="Month" numFmtId="0">
      <sharedItems count="1">
        <s v="Oct"/>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12398245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i" refreshedDate="46138.823745254631" createdVersion="8" refreshedVersion="8" minRefreshableVersion="3" recordCount="31" xr:uid="{8172BE34-A76D-482A-A103-47FF6F63FED0}">
  <cacheSource type="worksheet">
    <worksheetSource name="Table14"/>
  </cacheSource>
  <cacheFields count="11">
    <cacheField name="Transaction ID" numFmtId="0">
      <sharedItems/>
    </cacheField>
    <cacheField name="Item Name" numFmtId="0">
      <sharedItems count="10">
        <s v="Coffee"/>
        <s v="Tea"/>
        <s v="Sandwich"/>
        <s v="Burger"/>
        <s v="Pizza"/>
        <s v="OTHER"/>
        <s v="Pasta"/>
        <s v="Wrap"/>
        <s v="Fries"/>
        <s v="UNKNOWN"/>
      </sharedItems>
    </cacheField>
    <cacheField name="Quantity" numFmtId="0">
      <sharedItems containsSemiMixedTypes="0" containsString="0" containsNumber="1" containsInteger="1" minValue="1" maxValue="3"/>
    </cacheField>
    <cacheField name="Price per Unit" numFmtId="0">
      <sharedItems containsSemiMixedTypes="0" containsString="0" containsNumber="1" containsInteger="1" minValue="60" maxValue="300"/>
    </cacheField>
    <cacheField name="Total Spent" numFmtId="0">
      <sharedItems containsSemiMixedTypes="0" containsString="0" containsNumber="1" containsInteger="1" minValue="60" maxValue="600"/>
    </cacheField>
    <cacheField name="Payment Method" numFmtId="0">
      <sharedItems/>
    </cacheField>
    <cacheField name="Order Location" numFmtId="0">
      <sharedItems count="3">
        <s v="In-store"/>
        <s v="Takeaway"/>
        <s v="OTHER"/>
      </sharedItems>
    </cacheField>
    <cacheField name="Transaction Date" numFmtId="14">
      <sharedItems containsSemiMixedTypes="0" containsNonDate="0" containsDate="1" containsString="0" minDate="2024-10-01T00:00:00" maxDate="2024-11-01T00:00:00"/>
    </cacheField>
    <cacheField name="Date" numFmtId="0">
      <sharedItems containsSemiMixedTypes="0" containsString="0" containsNumber="1" containsInteger="1" minValue="1" maxValue="31"/>
    </cacheField>
    <cacheField name="Month" numFmtId="0">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T201"/>
    <x v="0"/>
    <x v="0"/>
    <n v="120"/>
    <x v="0"/>
    <x v="0"/>
    <x v="0"/>
    <d v="2024-10-01T00:00:00"/>
    <n v="1"/>
    <x v="0"/>
    <n v="2024"/>
  </r>
  <r>
    <s v="T202"/>
    <x v="1"/>
    <x v="1"/>
    <n v="60"/>
    <x v="1"/>
    <x v="1"/>
    <x v="1"/>
    <d v="2024-10-02T00:00:00"/>
    <n v="2"/>
    <x v="0"/>
    <n v="2024"/>
  </r>
  <r>
    <s v="T203"/>
    <x v="2"/>
    <x v="2"/>
    <n v="150"/>
    <x v="2"/>
    <x v="2"/>
    <x v="0"/>
    <d v="2024-10-03T00:00:00"/>
    <n v="3"/>
    <x v="0"/>
    <n v="2024"/>
  </r>
  <r>
    <s v="T204"/>
    <x v="3"/>
    <x v="0"/>
    <n v="200"/>
    <x v="3"/>
    <x v="0"/>
    <x v="1"/>
    <d v="2024-10-04T00:00:00"/>
    <n v="4"/>
    <x v="0"/>
    <n v="2024"/>
  </r>
  <r>
    <s v="T205"/>
    <x v="4"/>
    <x v="2"/>
    <n v="300"/>
    <x v="4"/>
    <x v="1"/>
    <x v="0"/>
    <d v="2024-10-05T00:00:00"/>
    <n v="5"/>
    <x v="0"/>
    <n v="2024"/>
  </r>
  <r>
    <s v="T206"/>
    <x v="5"/>
    <x v="0"/>
    <n v="100"/>
    <x v="5"/>
    <x v="2"/>
    <x v="2"/>
    <d v="2024-10-06T00:00:00"/>
    <n v="6"/>
    <x v="0"/>
    <n v="2024"/>
  </r>
  <r>
    <s v="T207"/>
    <x v="6"/>
    <x v="1"/>
    <n v="220"/>
    <x v="6"/>
    <x v="0"/>
    <x v="1"/>
    <d v="2024-10-07T00:00:00"/>
    <n v="7"/>
    <x v="0"/>
    <n v="2024"/>
  </r>
  <r>
    <s v="T208"/>
    <x v="7"/>
    <x v="0"/>
    <n v="180"/>
    <x v="7"/>
    <x v="1"/>
    <x v="0"/>
    <d v="2024-10-08T00:00:00"/>
    <n v="8"/>
    <x v="0"/>
    <n v="2024"/>
  </r>
  <r>
    <s v="T209"/>
    <x v="8"/>
    <x v="0"/>
    <n v="90"/>
    <x v="1"/>
    <x v="2"/>
    <x v="1"/>
    <d v="2024-10-09T00:00:00"/>
    <n v="9"/>
    <x v="0"/>
    <n v="2024"/>
  </r>
  <r>
    <s v="T210"/>
    <x v="0"/>
    <x v="2"/>
    <n v="120"/>
    <x v="8"/>
    <x v="0"/>
    <x v="0"/>
    <d v="2024-10-10T00:00:00"/>
    <n v="10"/>
    <x v="0"/>
    <n v="2024"/>
  </r>
  <r>
    <s v="T211"/>
    <x v="1"/>
    <x v="0"/>
    <n v="60"/>
    <x v="8"/>
    <x v="1"/>
    <x v="1"/>
    <d v="2024-10-11T00:00:00"/>
    <n v="11"/>
    <x v="0"/>
    <n v="2024"/>
  </r>
  <r>
    <s v="T212"/>
    <x v="3"/>
    <x v="0"/>
    <n v="200"/>
    <x v="5"/>
    <x v="2"/>
    <x v="0"/>
    <d v="2024-10-12T00:00:00"/>
    <n v="12"/>
    <x v="0"/>
    <n v="2024"/>
  </r>
  <r>
    <s v="T213"/>
    <x v="4"/>
    <x v="0"/>
    <n v="300"/>
    <x v="9"/>
    <x v="0"/>
    <x v="1"/>
    <d v="2024-10-13T00:00:00"/>
    <n v="13"/>
    <x v="0"/>
    <n v="2024"/>
  </r>
  <r>
    <s v="T214"/>
    <x v="2"/>
    <x v="2"/>
    <n v="150"/>
    <x v="2"/>
    <x v="1"/>
    <x v="0"/>
    <d v="2024-10-14T00:00:00"/>
    <n v="14"/>
    <x v="0"/>
    <n v="2024"/>
  </r>
  <r>
    <s v="T215"/>
    <x v="7"/>
    <x v="0"/>
    <n v="180"/>
    <x v="10"/>
    <x v="2"/>
    <x v="1"/>
    <d v="2024-10-15T00:00:00"/>
    <n v="15"/>
    <x v="0"/>
    <n v="2024"/>
  </r>
  <r>
    <s v="T216"/>
    <x v="8"/>
    <x v="1"/>
    <n v="90"/>
    <x v="11"/>
    <x v="0"/>
    <x v="0"/>
    <d v="2024-10-16T00:00:00"/>
    <n v="16"/>
    <x v="0"/>
    <n v="2024"/>
  </r>
  <r>
    <s v="T217"/>
    <x v="0"/>
    <x v="0"/>
    <n v="120"/>
    <x v="0"/>
    <x v="1"/>
    <x v="1"/>
    <d v="2024-10-17T00:00:00"/>
    <n v="17"/>
    <x v="0"/>
    <n v="2024"/>
  </r>
  <r>
    <s v="T218"/>
    <x v="1"/>
    <x v="2"/>
    <n v="60"/>
    <x v="12"/>
    <x v="2"/>
    <x v="0"/>
    <d v="2024-10-18T00:00:00"/>
    <n v="18"/>
    <x v="0"/>
    <n v="2024"/>
  </r>
  <r>
    <s v="T219"/>
    <x v="3"/>
    <x v="0"/>
    <n v="200"/>
    <x v="3"/>
    <x v="0"/>
    <x v="1"/>
    <d v="2024-10-19T00:00:00"/>
    <n v="19"/>
    <x v="0"/>
    <n v="2024"/>
  </r>
  <r>
    <s v="T220"/>
    <x v="4"/>
    <x v="2"/>
    <n v="300"/>
    <x v="4"/>
    <x v="1"/>
    <x v="0"/>
    <d v="2024-10-20T00:00:00"/>
    <n v="20"/>
    <x v="0"/>
    <n v="2024"/>
  </r>
  <r>
    <s v="T221"/>
    <x v="6"/>
    <x v="0"/>
    <n v="300"/>
    <x v="3"/>
    <x v="2"/>
    <x v="1"/>
    <d v="2024-10-21T00:00:00"/>
    <n v="21"/>
    <x v="0"/>
    <n v="2024"/>
  </r>
  <r>
    <s v="T222"/>
    <x v="9"/>
    <x v="2"/>
    <n v="150"/>
    <x v="2"/>
    <x v="0"/>
    <x v="0"/>
    <d v="2024-10-22T00:00:00"/>
    <n v="22"/>
    <x v="0"/>
    <n v="2024"/>
  </r>
  <r>
    <s v="T223"/>
    <x v="2"/>
    <x v="1"/>
    <n v="150"/>
    <x v="7"/>
    <x v="1"/>
    <x v="1"/>
    <d v="2024-10-23T00:00:00"/>
    <n v="23"/>
    <x v="0"/>
    <n v="2024"/>
  </r>
  <r>
    <s v="T224"/>
    <x v="7"/>
    <x v="0"/>
    <n v="180"/>
    <x v="10"/>
    <x v="2"/>
    <x v="0"/>
    <d v="2024-10-24T00:00:00"/>
    <n v="24"/>
    <x v="0"/>
    <n v="2024"/>
  </r>
  <r>
    <s v="T225"/>
    <x v="8"/>
    <x v="0"/>
    <n v="90"/>
    <x v="1"/>
    <x v="0"/>
    <x v="1"/>
    <d v="2024-10-25T00:00:00"/>
    <n v="25"/>
    <x v="0"/>
    <n v="2024"/>
  </r>
  <r>
    <s v="T226"/>
    <x v="0"/>
    <x v="2"/>
    <n v="120"/>
    <x v="8"/>
    <x v="1"/>
    <x v="0"/>
    <d v="2024-10-26T00:00:00"/>
    <n v="26"/>
    <x v="0"/>
    <n v="2024"/>
  </r>
  <r>
    <s v="T227"/>
    <x v="1"/>
    <x v="0"/>
    <n v="60"/>
    <x v="8"/>
    <x v="2"/>
    <x v="1"/>
    <d v="2024-10-27T00:00:00"/>
    <n v="27"/>
    <x v="0"/>
    <n v="2024"/>
  </r>
  <r>
    <s v="T228"/>
    <x v="3"/>
    <x v="1"/>
    <n v="200"/>
    <x v="9"/>
    <x v="0"/>
    <x v="0"/>
    <d v="2024-10-28T00:00:00"/>
    <n v="28"/>
    <x v="0"/>
    <n v="2024"/>
  </r>
  <r>
    <s v="T229"/>
    <x v="4"/>
    <x v="0"/>
    <n v="300"/>
    <x v="9"/>
    <x v="1"/>
    <x v="1"/>
    <d v="2024-10-29T00:00:00"/>
    <n v="29"/>
    <x v="0"/>
    <n v="2024"/>
  </r>
  <r>
    <s v="T230"/>
    <x v="6"/>
    <x v="1"/>
    <n v="220"/>
    <x v="13"/>
    <x v="2"/>
    <x v="0"/>
    <d v="2024-10-30T00:00:00"/>
    <n v="30"/>
    <x v="0"/>
    <n v="2024"/>
  </r>
  <r>
    <s v="T231"/>
    <x v="7"/>
    <x v="0"/>
    <n v="180"/>
    <x v="10"/>
    <x v="0"/>
    <x v="1"/>
    <d v="2024-10-31T00:00:00"/>
    <n v="31"/>
    <x v="0"/>
    <n v="20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T201"/>
    <x v="0"/>
    <n v="2"/>
    <n v="120"/>
    <n v="240"/>
    <s v="Cash"/>
    <x v="0"/>
    <d v="2024-10-01T00:00:00"/>
    <n v="1"/>
    <s v="Oct"/>
    <n v="2024"/>
  </r>
  <r>
    <s v="T202"/>
    <x v="1"/>
    <n v="3"/>
    <n v="60"/>
    <n v="180"/>
    <s v="Card"/>
    <x v="1"/>
    <d v="2024-10-02T00:00:00"/>
    <n v="2"/>
    <s v="Oct"/>
    <n v="2024"/>
  </r>
  <r>
    <s v="T203"/>
    <x v="2"/>
    <n v="1"/>
    <n v="150"/>
    <n v="150"/>
    <s v="UPI"/>
    <x v="0"/>
    <d v="2024-10-03T00:00:00"/>
    <n v="3"/>
    <s v="Oct"/>
    <n v="2024"/>
  </r>
  <r>
    <s v="T204"/>
    <x v="3"/>
    <n v="2"/>
    <n v="200"/>
    <n v="400"/>
    <s v="Cash"/>
    <x v="1"/>
    <d v="2024-10-04T00:00:00"/>
    <n v="4"/>
    <s v="Oct"/>
    <n v="2024"/>
  </r>
  <r>
    <s v="T205"/>
    <x v="4"/>
    <n v="1"/>
    <n v="300"/>
    <n v="300"/>
    <s v="Card"/>
    <x v="0"/>
    <d v="2024-10-05T00:00:00"/>
    <n v="5"/>
    <s v="Oct"/>
    <n v="2024"/>
  </r>
  <r>
    <s v="T206"/>
    <x v="5"/>
    <n v="2"/>
    <n v="100"/>
    <n v="200"/>
    <s v="UPI"/>
    <x v="2"/>
    <d v="2024-10-06T00:00:00"/>
    <n v="6"/>
    <s v="Oct"/>
    <n v="2024"/>
  </r>
  <r>
    <s v="T207"/>
    <x v="6"/>
    <n v="3"/>
    <n v="220"/>
    <n v="440"/>
    <s v="Cash"/>
    <x v="1"/>
    <d v="2024-10-07T00:00:00"/>
    <n v="7"/>
    <s v="Oct"/>
    <n v="2024"/>
  </r>
  <r>
    <s v="T208"/>
    <x v="7"/>
    <n v="2"/>
    <n v="180"/>
    <n v="450"/>
    <s v="Card"/>
    <x v="0"/>
    <d v="2024-10-08T00:00:00"/>
    <n v="8"/>
    <s v="Oct"/>
    <n v="2024"/>
  </r>
  <r>
    <s v="T209"/>
    <x v="8"/>
    <n v="2"/>
    <n v="90"/>
    <n v="180"/>
    <s v="UPI"/>
    <x v="1"/>
    <d v="2024-10-09T00:00:00"/>
    <n v="9"/>
    <s v="Oct"/>
    <n v="2024"/>
  </r>
  <r>
    <s v="T210"/>
    <x v="0"/>
    <n v="1"/>
    <n v="120"/>
    <n v="120"/>
    <s v="Cash"/>
    <x v="0"/>
    <d v="2024-10-10T00:00:00"/>
    <n v="10"/>
    <s v="Oct"/>
    <n v="2024"/>
  </r>
  <r>
    <s v="T211"/>
    <x v="1"/>
    <n v="2"/>
    <n v="60"/>
    <n v="120"/>
    <s v="Card"/>
    <x v="1"/>
    <d v="2024-10-11T00:00:00"/>
    <n v="11"/>
    <s v="Oct"/>
    <n v="2024"/>
  </r>
  <r>
    <s v="T212"/>
    <x v="3"/>
    <n v="2"/>
    <n v="200"/>
    <n v="200"/>
    <s v="UPI"/>
    <x v="0"/>
    <d v="2024-10-12T00:00:00"/>
    <n v="12"/>
    <s v="Oct"/>
    <n v="2024"/>
  </r>
  <r>
    <s v="T213"/>
    <x v="4"/>
    <n v="2"/>
    <n v="300"/>
    <n v="600"/>
    <s v="Cash"/>
    <x v="1"/>
    <d v="2024-10-13T00:00:00"/>
    <n v="13"/>
    <s v="Oct"/>
    <n v="2024"/>
  </r>
  <r>
    <s v="T214"/>
    <x v="2"/>
    <n v="1"/>
    <n v="150"/>
    <n v="150"/>
    <s v="Card"/>
    <x v="0"/>
    <d v="2024-10-14T00:00:00"/>
    <n v="14"/>
    <s v="Oct"/>
    <n v="2024"/>
  </r>
  <r>
    <s v="T215"/>
    <x v="7"/>
    <n v="2"/>
    <n v="180"/>
    <n v="360"/>
    <s v="UPI"/>
    <x v="1"/>
    <d v="2024-10-15T00:00:00"/>
    <n v="15"/>
    <s v="Oct"/>
    <n v="2024"/>
  </r>
  <r>
    <s v="T216"/>
    <x v="8"/>
    <n v="3"/>
    <n v="90"/>
    <n v="270"/>
    <s v="Cash"/>
    <x v="0"/>
    <d v="2024-10-16T00:00:00"/>
    <n v="16"/>
    <s v="Oct"/>
    <n v="2024"/>
  </r>
  <r>
    <s v="T217"/>
    <x v="0"/>
    <n v="2"/>
    <n v="120"/>
    <n v="240"/>
    <s v="Card"/>
    <x v="1"/>
    <d v="2024-10-17T00:00:00"/>
    <n v="17"/>
    <s v="Oct"/>
    <n v="2024"/>
  </r>
  <r>
    <s v="T218"/>
    <x v="1"/>
    <n v="1"/>
    <n v="60"/>
    <n v="60"/>
    <s v="UPI"/>
    <x v="0"/>
    <d v="2024-10-18T00:00:00"/>
    <n v="18"/>
    <s v="Oct"/>
    <n v="2024"/>
  </r>
  <r>
    <s v="T219"/>
    <x v="3"/>
    <n v="2"/>
    <n v="200"/>
    <n v="400"/>
    <s v="Cash"/>
    <x v="1"/>
    <d v="2024-10-19T00:00:00"/>
    <n v="19"/>
    <s v="Oct"/>
    <n v="2024"/>
  </r>
  <r>
    <s v="T220"/>
    <x v="4"/>
    <n v="1"/>
    <n v="300"/>
    <n v="300"/>
    <s v="Card"/>
    <x v="0"/>
    <d v="2024-10-20T00:00:00"/>
    <n v="20"/>
    <s v="Oct"/>
    <n v="2024"/>
  </r>
  <r>
    <s v="T221"/>
    <x v="6"/>
    <n v="2"/>
    <n v="300"/>
    <n v="400"/>
    <s v="UPI"/>
    <x v="1"/>
    <d v="2024-10-21T00:00:00"/>
    <n v="21"/>
    <s v="Oct"/>
    <n v="2024"/>
  </r>
  <r>
    <s v="T222"/>
    <x v="9"/>
    <n v="1"/>
    <n v="150"/>
    <n v="150"/>
    <s v="Cash"/>
    <x v="0"/>
    <d v="2024-10-22T00:00:00"/>
    <n v="22"/>
    <s v="Oct"/>
    <n v="2024"/>
  </r>
  <r>
    <s v="T223"/>
    <x v="2"/>
    <n v="3"/>
    <n v="150"/>
    <n v="450"/>
    <s v="Card"/>
    <x v="1"/>
    <d v="2024-10-23T00:00:00"/>
    <n v="23"/>
    <s v="Oct"/>
    <n v="2024"/>
  </r>
  <r>
    <s v="T224"/>
    <x v="7"/>
    <n v="2"/>
    <n v="180"/>
    <n v="360"/>
    <s v="UPI"/>
    <x v="0"/>
    <d v="2024-10-24T00:00:00"/>
    <n v="24"/>
    <s v="Oct"/>
    <n v="2024"/>
  </r>
  <r>
    <s v="T225"/>
    <x v="8"/>
    <n v="2"/>
    <n v="90"/>
    <n v="180"/>
    <s v="Cash"/>
    <x v="1"/>
    <d v="2024-10-25T00:00:00"/>
    <n v="25"/>
    <s v="Oct"/>
    <n v="2024"/>
  </r>
  <r>
    <s v="T226"/>
    <x v="0"/>
    <n v="1"/>
    <n v="120"/>
    <n v="120"/>
    <s v="Card"/>
    <x v="0"/>
    <d v="2024-10-26T00:00:00"/>
    <n v="26"/>
    <s v="Oct"/>
    <n v="2024"/>
  </r>
  <r>
    <s v="T227"/>
    <x v="1"/>
    <n v="2"/>
    <n v="60"/>
    <n v="120"/>
    <s v="UPI"/>
    <x v="1"/>
    <d v="2024-10-27T00:00:00"/>
    <n v="27"/>
    <s v="Oct"/>
    <n v="2024"/>
  </r>
  <r>
    <s v="T228"/>
    <x v="3"/>
    <n v="3"/>
    <n v="200"/>
    <n v="600"/>
    <s v="Cash"/>
    <x v="0"/>
    <d v="2024-10-28T00:00:00"/>
    <n v="28"/>
    <s v="Oct"/>
    <n v="2024"/>
  </r>
  <r>
    <s v="T229"/>
    <x v="4"/>
    <n v="2"/>
    <n v="300"/>
    <n v="600"/>
    <s v="Card"/>
    <x v="1"/>
    <d v="2024-10-29T00:00:00"/>
    <n v="29"/>
    <s v="Oct"/>
    <n v="2024"/>
  </r>
  <r>
    <s v="T230"/>
    <x v="6"/>
    <n v="3"/>
    <n v="220"/>
    <n v="220"/>
    <s v="UPI"/>
    <x v="0"/>
    <d v="2024-10-30T00:00:00"/>
    <n v="30"/>
    <s v="Oct"/>
    <n v="2024"/>
  </r>
  <r>
    <s v="T231"/>
    <x v="7"/>
    <n v="2"/>
    <n v="180"/>
    <n v="360"/>
    <s v="Cash"/>
    <x v="1"/>
    <d v="2024-10-31T00:00:00"/>
    <n v="31"/>
    <s v="Oct"/>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B97AF-5064-42CE-80F4-916A71E18CF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7:J11" firstHeaderRow="1" firstDataRow="1" firstDataCol="1"/>
  <pivotFields count="11">
    <pivotField showAll="0"/>
    <pivotField showAll="0"/>
    <pivotField showAll="0"/>
    <pivotField showAll="0"/>
    <pivotField dataField="1" showAll="0"/>
    <pivotField axis="axisRow" showAll="0">
      <items count="4">
        <item x="1"/>
        <item x="0"/>
        <item x="2"/>
        <item t="default"/>
      </items>
    </pivotField>
    <pivotField showAll="0"/>
    <pivotField numFmtId="14" showAll="0"/>
    <pivotField showAll="0"/>
    <pivotField showAll="0"/>
    <pivotField showAll="0"/>
  </pivotFields>
  <rowFields count="1">
    <field x="5"/>
  </rowFields>
  <rowItems count="4">
    <i>
      <x/>
    </i>
    <i>
      <x v="1"/>
    </i>
    <i>
      <x v="2"/>
    </i>
    <i t="grand">
      <x/>
    </i>
  </rowItems>
  <colItems count="1">
    <i/>
  </colItems>
  <dataFields count="1">
    <dataField name="Sum of Total Spent" fld="4"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DAB3F7-252A-413F-B449-ED47DD9C420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6:C17" firstHeaderRow="1" firstDataRow="1" firstDataCol="1"/>
  <pivotFields count="11">
    <pivotField showAll="0"/>
    <pivotField axis="axisRow" showAll="0">
      <items count="11">
        <item x="3"/>
        <item x="0"/>
        <item x="8"/>
        <item x="5"/>
        <item x="6"/>
        <item x="4"/>
        <item x="2"/>
        <item x="1"/>
        <item x="9"/>
        <item x="7"/>
        <item t="default"/>
      </items>
    </pivotField>
    <pivotField showAll="0">
      <items count="4">
        <item x="2"/>
        <item x="0"/>
        <item x="1"/>
        <item t="default"/>
      </items>
    </pivotField>
    <pivotField showAll="0"/>
    <pivotField dataField="1" showAll="0">
      <items count="15">
        <item x="12"/>
        <item x="8"/>
        <item x="2"/>
        <item x="1"/>
        <item x="5"/>
        <item x="13"/>
        <item x="0"/>
        <item x="11"/>
        <item x="4"/>
        <item x="10"/>
        <item x="3"/>
        <item x="6"/>
        <item x="7"/>
        <item x="9"/>
        <item t="default"/>
      </items>
    </pivotField>
    <pivotField showAll="0">
      <items count="4">
        <item x="1"/>
        <item x="0"/>
        <item x="2"/>
        <item t="default"/>
      </items>
    </pivotField>
    <pivotField showAll="0">
      <items count="4">
        <item x="0"/>
        <item x="2"/>
        <item x="1"/>
        <item t="default"/>
      </items>
    </pivotField>
    <pivotField numFmtId="14"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1F3ED9-30FE-4B3E-9D90-E01324C4371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2:K23" firstHeaderRow="1" firstDataRow="1" firstDataCol="0" rowPageCount="1" colPageCount="1"/>
  <pivotFields count="11">
    <pivotField showAll="0"/>
    <pivotField showAll="0"/>
    <pivotField showAll="0"/>
    <pivotField showAll="0"/>
    <pivotField dataField="1" showAll="0">
      <items count="15">
        <item x="12"/>
        <item x="8"/>
        <item x="2"/>
        <item x="1"/>
        <item x="5"/>
        <item x="13"/>
        <item x="0"/>
        <item x="11"/>
        <item x="4"/>
        <item x="10"/>
        <item x="3"/>
        <item x="6"/>
        <item x="7"/>
        <item x="9"/>
        <item t="default"/>
      </items>
    </pivotField>
    <pivotField showAll="0">
      <items count="4">
        <item x="1"/>
        <item x="0"/>
        <item x="2"/>
        <item t="default"/>
      </items>
    </pivotField>
    <pivotField showAll="0"/>
    <pivotField numFmtId="14" showAll="0"/>
    <pivotField showAll="0"/>
    <pivotField axis="axisPage" showAll="0">
      <items count="2">
        <item x="0"/>
        <item t="default"/>
      </items>
    </pivotField>
    <pivotField showAll="0"/>
  </pivotFields>
  <rowItems count="1">
    <i/>
  </rowItems>
  <colItems count="1">
    <i/>
  </colItems>
  <pageFields count="1">
    <pageField fld="9" item="0" hier="-1"/>
  </pageField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B3BD9-BF0A-42F3-AA55-F857C57056DA}"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9:P20" firstHeaderRow="1" firstDataRow="1" firstDataCol="1"/>
  <pivotFields count="11">
    <pivotField showAll="0"/>
    <pivotField axis="axisRow" showAll="0">
      <items count="11">
        <item x="3"/>
        <item x="0"/>
        <item x="8"/>
        <item x="5"/>
        <item x="6"/>
        <item x="4"/>
        <item x="2"/>
        <item x="1"/>
        <item x="9"/>
        <item x="7"/>
        <item t="default"/>
      </items>
    </pivotField>
    <pivotField showAll="0"/>
    <pivotField showAll="0"/>
    <pivotField dataField="1" showAll="0"/>
    <pivotField showAll="0"/>
    <pivotField showAll="0"/>
    <pivotField numFmtId="14"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Total Spe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009189-49CD-48FC-8973-90FA7A7A0483}"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4:S8" firstHeaderRow="1" firstDataRow="1" firstDataCol="1"/>
  <pivotFields count="11">
    <pivotField showAll="0"/>
    <pivotField showAll="0"/>
    <pivotField showAll="0"/>
    <pivotField showAll="0"/>
    <pivotField dataField="1" showAll="0"/>
    <pivotField showAll="0"/>
    <pivotField axis="axisRow" showAll="0">
      <items count="4">
        <item x="0"/>
        <item x="2"/>
        <item x="1"/>
        <item t="default"/>
      </items>
    </pivotField>
    <pivotField numFmtId="14" showAll="0"/>
    <pivotField showAll="0"/>
    <pivotField showAll="0"/>
    <pivotField showAll="0"/>
  </pivotFields>
  <rowFields count="1">
    <field x="6"/>
  </rowFields>
  <rowItems count="4">
    <i>
      <x/>
    </i>
    <i>
      <x v="1"/>
    </i>
    <i>
      <x v="2"/>
    </i>
    <i t="grand">
      <x/>
    </i>
  </rowItems>
  <colItems count="1">
    <i/>
  </colItems>
  <dataFields count="1">
    <dataField name="Sum of Total Spent" fld="4"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1" xr10:uid="{38248EC5-319E-48BF-9384-FA05284EFCF5}" sourceName="Item Name">
  <pivotTables>
    <pivotTable tabId="12" name="PivotTable14"/>
  </pivotTables>
  <data>
    <tabular pivotCacheId="1239824552">
      <items count="10">
        <i x="3" s="1"/>
        <i x="0" s="1"/>
        <i x="8" s="1"/>
        <i x="5" s="1"/>
        <i x="6" s="1"/>
        <i x="4" s="1"/>
        <i x="2" s="1"/>
        <i x="1" s="1"/>
        <i x="9"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pent" xr10:uid="{8A8662D2-474B-4D8E-BB3D-F5C15F7F4C6E}" sourceName="Total Spent">
  <pivotTables>
    <pivotTable tabId="12" name="PivotTable14"/>
  </pivotTables>
  <data>
    <tabular pivotCacheId="1239824552">
      <items count="14">
        <i x="12" s="1"/>
        <i x="8" s="1"/>
        <i x="2" s="1"/>
        <i x="1" s="1"/>
        <i x="5" s="1"/>
        <i x="13" s="1"/>
        <i x="0" s="1"/>
        <i x="11" s="1"/>
        <i x="4" s="1"/>
        <i x="10" s="1"/>
        <i x="3" s="1"/>
        <i x="6" s="1"/>
        <i x="7"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F1D4082B-D4DE-4504-ABE3-507ACE9A664D}" sourceName="Payment Method">
  <pivotTables>
    <pivotTable tabId="12" name="PivotTable14"/>
    <pivotTable tabId="12" name="PivotTable15"/>
    <pivotTable tabId="12" name="PivotTable29"/>
  </pivotTables>
  <data>
    <tabular pivotCacheId="123982455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Location1" xr10:uid="{E402F658-6CF9-4026-AB55-723181DB82F9}" sourceName="Order Location">
  <pivotTables>
    <pivotTable tabId="12" name="PivotTable14"/>
  </pivotTables>
  <data>
    <tabular pivotCacheId="1239824552">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per_Unit" xr10:uid="{25653214-9376-4423-ADF5-527273E12166}" sourceName="Price per Unit">
  <extLst>
    <x:ext xmlns:x15="http://schemas.microsoft.com/office/spreadsheetml/2010/11/main" uri="{2F2917AC-EB37-4324-AD4E-5DD8C200BD13}">
      <x15:tableSlicerCache tableId="3"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48A5B00B-ACDF-4140-BE18-76DDB9D37C19}" sourceName="Item Name">
  <extLst>
    <x:ext xmlns:x15="http://schemas.microsoft.com/office/spreadsheetml/2010/11/main" uri="{2F2917AC-EB37-4324-AD4E-5DD8C200BD13}">
      <x15:tableSlicerCache tableId="3"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75F5562-CED5-4353-B83E-9B5AA48BB6B1}" sourceName="Payment Method">
  <extLst>
    <x:ext xmlns:x15="http://schemas.microsoft.com/office/spreadsheetml/2010/11/main" uri="{2F2917AC-EB37-4324-AD4E-5DD8C200BD13}">
      <x15:tableSlicerCache tableId="3" column="6"/>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Location" xr10:uid="{4D1D2A75-483C-4094-B263-9D84468837F2}" sourceName="Order Location">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per Unit" xr10:uid="{E9E89CF3-CCCE-4A54-A833-A68496242A3D}" cache="Slicer_Price_per_Unit" caption="Price per Unit" columnCount="3" style="SlicerStyleLight4" rowHeight="468000"/>
  <slicer name="Item Name" xr10:uid="{257BF067-382B-4154-ACF8-598088E32299}" cache="Slicer_Item_Name" caption="Item Name" columnCount="3" style="SlicerStyleLight4" rowHeight="324000"/>
  <slicer name="Payment Method" xr10:uid="{D42BE6A6-DE2A-405B-BA86-00638EAABD28}" cache="Slicer_Payment_Method" caption="Payment Method" style="SlicerStyleLight4" rowHeight="324000"/>
  <slicer name="Order Location" xr10:uid="{45822985-0D06-440A-8209-64FCC0600AD6}" cache="Slicer_Order_Location" caption="Order Location" style="SlicerStyleLight4"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ame 1" xr10:uid="{8A78FD92-593E-4EDF-B589-B84799664AB3}" cache="Slicer_Item_Name1" caption="Item Name" startItem="5" style="Slicer Style 7" rowHeight="324000"/>
  <slicer name="Total Spent" xr10:uid="{ECD6B407-D17B-464B-AC68-3BCEBC1BBDF7}" cache="Slicer_Total_Spent" caption="Total Spent" columnCount="3" style="Slicer Style 7" rowHeight="216000"/>
  <slicer name="Payment Method 1" xr10:uid="{434234B3-A457-4512-BFC6-CAFAFAA1CD65}" cache="Slicer_Payment_Method1" caption="Payment Method" style="Slicer Style 7" rowHeight="396000"/>
  <slicer name="Order Location 1" xr10:uid="{C79BB625-2522-4BBA-B5E0-7E779158D232}" cache="Slicer_Order_Location1" caption="Order Location" style="Slicer Style 7"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5675F4-DD25-432C-AB8F-C9B489E012FD}" name="Table1" displayName="Table1" ref="B3:L35" totalsRowCount="1" headerRowDxfId="52" dataDxfId="50" totalsRowDxfId="48" headerRowBorderDxfId="51" tableBorderDxfId="49" totalsRowBorderDxfId="47">
  <autoFilter ref="B3:L34" xr:uid="{B15675F4-DD25-432C-AB8F-C9B489E012FD}"/>
  <tableColumns count="11">
    <tableColumn id="1" xr3:uid="{FC3F79ED-C0EC-4E52-8A98-1FC9CB79AFE5}" name="Transaction ID" dataDxfId="46" totalsRowDxfId="45"/>
    <tableColumn id="2" xr3:uid="{600A8197-3830-493C-BD8A-EA00BA2239D1}" name="Item Name" dataDxfId="44" totalsRowDxfId="43"/>
    <tableColumn id="3" xr3:uid="{147C91BF-3913-494F-9CE8-5F8C34712D0B}" name="Quantity" dataDxfId="42" totalsRowDxfId="41"/>
    <tableColumn id="4" xr3:uid="{81367D57-4196-485C-A7A5-2E187C628CE1}" name="Price per Unit" dataDxfId="40" totalsRowDxfId="39"/>
    <tableColumn id="5" xr3:uid="{67D3F3CA-974F-4FE5-8EED-66783E11549F}" name="Total Spent" dataDxfId="38" totalsRowDxfId="37"/>
    <tableColumn id="6" xr3:uid="{9B9908C1-37DC-4C1D-907F-A6694B3290C1}" name="Payment Method" dataDxfId="36" totalsRowDxfId="35"/>
    <tableColumn id="7" xr3:uid="{B35F6CD1-BA48-423D-827B-D56D4C60D2B4}" name="Order Location" dataDxfId="34" totalsRowDxfId="33"/>
    <tableColumn id="8" xr3:uid="{1F30B6D7-6B36-448B-BAFD-66B86782CECE}" name="Transaction Date" dataDxfId="32" totalsRowDxfId="31"/>
    <tableColumn id="9" xr3:uid="{354AFD09-17B1-4E92-BB17-857D46B5ECD0}" name="Date" dataDxfId="30" totalsRowDxfId="29">
      <calculatedColumnFormula>DAY(I4)</calculatedColumnFormula>
    </tableColumn>
    <tableColumn id="10" xr3:uid="{D05099D3-91CA-473C-B730-621AFEF78AC7}" name="Month" dataDxfId="28" totalsRowDxfId="27">
      <calculatedColumnFormula>TEXT(I4,"mmm")</calculatedColumnFormula>
    </tableColumn>
    <tableColumn id="11" xr3:uid="{0B0995BA-BD61-4C66-A08C-BE9FE4326993}" name="Year" dataDxfId="26" totalsRowDxfId="25">
      <calculatedColumnFormula>YEAR(I4)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AAA40D-8F97-458F-B27C-542AD31129F8}" name="Table14" displayName="Table14" ref="B3:L35" totalsRowCount="1" headerRowDxfId="24" dataDxfId="23" totalsRowDxfId="22">
  <autoFilter ref="B3:L34" xr:uid="{ABAAA40D-8F97-458F-B27C-542AD31129F8}"/>
  <tableColumns count="11">
    <tableColumn id="1" xr3:uid="{85CE9A83-3BC9-4C1E-84C3-51C6471D7FDA}" name="Transaction ID" dataDxfId="21" totalsRowDxfId="20"/>
    <tableColumn id="2" xr3:uid="{F153FBE1-69A4-459F-8D1B-5151AD77A473}" name="Item Name" dataDxfId="19" totalsRowDxfId="18"/>
    <tableColumn id="3" xr3:uid="{A736B1E9-D8AC-4D7C-A944-CF25E004C359}" name="Quantity" dataDxfId="17" totalsRowDxfId="16"/>
    <tableColumn id="4" xr3:uid="{F124C697-06A7-47F6-AB7C-5A12652D6B7D}" name="Price per Unit" dataDxfId="15" totalsRowDxfId="14"/>
    <tableColumn id="5" xr3:uid="{4EB6BBAE-B517-44CF-AE30-5F072A531064}" name="Total Spent" dataDxfId="13" totalsRowDxfId="12"/>
    <tableColumn id="6" xr3:uid="{F5C3041D-9C82-4506-8AE4-069430E3DCF1}" name="Payment Method" dataDxfId="11" totalsRowDxfId="10"/>
    <tableColumn id="7" xr3:uid="{F50682A9-5AC6-4EEB-B57F-9E442398E097}" name="Order Location" dataDxfId="9" totalsRowDxfId="8"/>
    <tableColumn id="8" xr3:uid="{B89606FD-8671-4A92-B2AE-61F3C983877D}" name="Transaction Date" dataDxfId="7" totalsRowDxfId="6"/>
    <tableColumn id="9" xr3:uid="{FB905F6F-3DF7-4AB0-8113-126EF69CF480}" name="Date" dataDxfId="5" totalsRowDxfId="4">
      <calculatedColumnFormula>DAY(I4)</calculatedColumnFormula>
    </tableColumn>
    <tableColumn id="10" xr3:uid="{FC518796-409D-4CCA-B843-17F7AB0EDAA2}" name="Month" dataDxfId="3" totalsRowDxfId="2">
      <calculatedColumnFormula>TEXT(I4,"mmm")</calculatedColumnFormula>
    </tableColumn>
    <tableColumn id="11" xr3:uid="{61B7691C-0264-48F9-84BC-D4E7773717D2}" name="Year" dataDxfId="1" totalsRowDxfId="0">
      <calculatedColumnFormula>YEAR(I4)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E5DA3-40E8-4472-854F-57A474168FD1}">
  <dimension ref="A1:L32"/>
  <sheetViews>
    <sheetView zoomScale="54" workbookViewId="0">
      <selection activeCell="P32" sqref="P32:Q32"/>
    </sheetView>
  </sheetViews>
  <sheetFormatPr defaultRowHeight="14.5" x14ac:dyDescent="0.35"/>
  <cols>
    <col min="1" max="1" width="13.36328125" customWidth="1"/>
    <col min="2" max="2" width="12.26953125" customWidth="1"/>
    <col min="3" max="3" width="12.81640625" customWidth="1"/>
    <col min="4" max="4" width="15.36328125" customWidth="1"/>
    <col min="5" max="5" width="12.54296875" customWidth="1"/>
    <col min="6" max="7" width="15" customWidth="1"/>
    <col min="8" max="8" width="16.63281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v>2</v>
      </c>
      <c r="D2">
        <v>120</v>
      </c>
      <c r="E2">
        <v>240</v>
      </c>
      <c r="F2" t="s">
        <v>14</v>
      </c>
      <c r="G2" t="s">
        <v>15</v>
      </c>
      <c r="H2" s="1">
        <v>45566</v>
      </c>
    </row>
    <row r="3" spans="1:12" x14ac:dyDescent="0.35">
      <c r="A3" t="s">
        <v>16</v>
      </c>
      <c r="B3" t="s">
        <v>17</v>
      </c>
      <c r="C3">
        <v>3</v>
      </c>
      <c r="D3">
        <v>60</v>
      </c>
      <c r="E3">
        <v>180</v>
      </c>
      <c r="F3" t="s">
        <v>18</v>
      </c>
      <c r="G3" t="s">
        <v>19</v>
      </c>
      <c r="H3" s="1">
        <v>45567</v>
      </c>
    </row>
    <row r="4" spans="1:12" x14ac:dyDescent="0.35">
      <c r="A4" t="s">
        <v>20</v>
      </c>
      <c r="B4" t="s">
        <v>21</v>
      </c>
      <c r="C4">
        <v>1</v>
      </c>
      <c r="D4">
        <v>150</v>
      </c>
      <c r="E4">
        <v>150</v>
      </c>
      <c r="F4" t="s">
        <v>22</v>
      </c>
      <c r="G4" t="s">
        <v>15</v>
      </c>
      <c r="H4" s="1">
        <v>45568</v>
      </c>
    </row>
    <row r="5" spans="1:12" x14ac:dyDescent="0.35">
      <c r="A5" t="s">
        <v>23</v>
      </c>
      <c r="B5" t="s">
        <v>24</v>
      </c>
      <c r="C5">
        <v>2</v>
      </c>
      <c r="D5">
        <v>200</v>
      </c>
      <c r="E5">
        <v>400</v>
      </c>
      <c r="F5" t="s">
        <v>14</v>
      </c>
      <c r="G5" t="s">
        <v>19</v>
      </c>
      <c r="H5" s="1">
        <v>45569</v>
      </c>
    </row>
    <row r="6" spans="1:12" x14ac:dyDescent="0.35">
      <c r="A6" t="s">
        <v>25</v>
      </c>
      <c r="B6" t="s">
        <v>26</v>
      </c>
      <c r="C6">
        <v>1</v>
      </c>
      <c r="D6">
        <v>300</v>
      </c>
      <c r="E6">
        <v>300</v>
      </c>
      <c r="F6" t="s">
        <v>18</v>
      </c>
      <c r="G6" t="s">
        <v>15</v>
      </c>
      <c r="H6" s="1">
        <v>45570</v>
      </c>
    </row>
    <row r="7" spans="1:12" x14ac:dyDescent="0.35">
      <c r="A7" t="s">
        <v>27</v>
      </c>
      <c r="B7" t="s">
        <v>28</v>
      </c>
      <c r="C7">
        <v>2</v>
      </c>
      <c r="D7">
        <v>100</v>
      </c>
      <c r="E7">
        <v>200</v>
      </c>
      <c r="F7" t="s">
        <v>22</v>
      </c>
      <c r="G7" t="s">
        <v>28</v>
      </c>
      <c r="H7" s="1">
        <v>45571</v>
      </c>
    </row>
    <row r="8" spans="1:12" x14ac:dyDescent="0.35">
      <c r="A8" t="s">
        <v>29</v>
      </c>
      <c r="B8" t="s">
        <v>30</v>
      </c>
      <c r="D8">
        <v>220</v>
      </c>
      <c r="E8">
        <v>440</v>
      </c>
      <c r="F8" t="s">
        <v>14</v>
      </c>
      <c r="G8" t="s">
        <v>19</v>
      </c>
      <c r="H8" s="1">
        <v>45572</v>
      </c>
    </row>
    <row r="9" spans="1:12" x14ac:dyDescent="0.35">
      <c r="A9" t="s">
        <v>31</v>
      </c>
      <c r="B9" t="s">
        <v>32</v>
      </c>
      <c r="C9">
        <v>3</v>
      </c>
      <c r="E9">
        <v>450</v>
      </c>
      <c r="F9" t="s">
        <v>18</v>
      </c>
      <c r="G9" t="s">
        <v>15</v>
      </c>
      <c r="H9" s="1">
        <v>45573</v>
      </c>
    </row>
    <row r="10" spans="1:12" x14ac:dyDescent="0.35">
      <c r="A10" t="s">
        <v>33</v>
      </c>
      <c r="B10" t="s">
        <v>34</v>
      </c>
      <c r="C10">
        <v>2</v>
      </c>
      <c r="D10">
        <v>90</v>
      </c>
      <c r="E10">
        <v>180</v>
      </c>
      <c r="F10" t="s">
        <v>22</v>
      </c>
      <c r="G10" t="s">
        <v>19</v>
      </c>
      <c r="H10" t="s">
        <v>35</v>
      </c>
    </row>
    <row r="11" spans="1:12" x14ac:dyDescent="0.35">
      <c r="A11" t="s">
        <v>36</v>
      </c>
      <c r="B11" t="s">
        <v>13</v>
      </c>
      <c r="C11">
        <v>1</v>
      </c>
      <c r="D11">
        <v>120</v>
      </c>
      <c r="E11">
        <v>120</v>
      </c>
      <c r="F11" t="s">
        <v>14</v>
      </c>
      <c r="G11" t="s">
        <v>15</v>
      </c>
      <c r="H11" s="1">
        <v>45575</v>
      </c>
    </row>
    <row r="12" spans="1:12" x14ac:dyDescent="0.35">
      <c r="A12" t="s">
        <v>37</v>
      </c>
      <c r="B12" t="s">
        <v>17</v>
      </c>
      <c r="C12">
        <v>2</v>
      </c>
      <c r="D12">
        <v>60</v>
      </c>
      <c r="E12">
        <v>120</v>
      </c>
      <c r="F12" t="s">
        <v>18</v>
      </c>
      <c r="G12" t="s">
        <v>19</v>
      </c>
      <c r="H12" s="1">
        <v>45576</v>
      </c>
    </row>
    <row r="13" spans="1:12" x14ac:dyDescent="0.35">
      <c r="A13" t="s">
        <v>38</v>
      </c>
      <c r="B13" t="s">
        <v>24</v>
      </c>
      <c r="D13">
        <v>200</v>
      </c>
      <c r="E13">
        <v>200</v>
      </c>
      <c r="F13" t="s">
        <v>22</v>
      </c>
      <c r="G13" t="s">
        <v>15</v>
      </c>
      <c r="H13" s="1">
        <v>45577</v>
      </c>
    </row>
    <row r="14" spans="1:12" x14ac:dyDescent="0.35">
      <c r="A14" t="s">
        <v>39</v>
      </c>
      <c r="B14" t="s">
        <v>26</v>
      </c>
      <c r="C14">
        <v>2</v>
      </c>
      <c r="D14">
        <v>300</v>
      </c>
      <c r="E14">
        <v>600</v>
      </c>
      <c r="F14" t="s">
        <v>14</v>
      </c>
      <c r="G14" t="s">
        <v>19</v>
      </c>
      <c r="H14" s="1">
        <v>45578</v>
      </c>
    </row>
    <row r="15" spans="1:12" x14ac:dyDescent="0.35">
      <c r="A15" t="s">
        <v>40</v>
      </c>
      <c r="B15" t="s">
        <v>21</v>
      </c>
      <c r="C15">
        <v>1</v>
      </c>
      <c r="D15">
        <v>150</v>
      </c>
      <c r="E15">
        <v>150</v>
      </c>
      <c r="F15" t="s">
        <v>18</v>
      </c>
      <c r="G15" t="s">
        <v>15</v>
      </c>
      <c r="H15" s="1">
        <v>45579</v>
      </c>
    </row>
    <row r="16" spans="1:12" x14ac:dyDescent="0.35">
      <c r="A16" t="s">
        <v>41</v>
      </c>
      <c r="B16" t="s">
        <v>32</v>
      </c>
      <c r="C16">
        <v>2</v>
      </c>
      <c r="D16">
        <v>180</v>
      </c>
      <c r="E16">
        <v>360</v>
      </c>
      <c r="F16" t="s">
        <v>22</v>
      </c>
      <c r="G16" t="s">
        <v>19</v>
      </c>
      <c r="H16" s="1">
        <v>45580</v>
      </c>
    </row>
    <row r="17" spans="1:8" x14ac:dyDescent="0.35">
      <c r="A17" t="s">
        <v>42</v>
      </c>
      <c r="B17" t="s">
        <v>34</v>
      </c>
      <c r="C17">
        <v>3</v>
      </c>
      <c r="D17">
        <v>90</v>
      </c>
      <c r="E17">
        <v>270</v>
      </c>
      <c r="F17" t="s">
        <v>14</v>
      </c>
      <c r="G17" t="s">
        <v>15</v>
      </c>
      <c r="H17" s="1">
        <v>45581</v>
      </c>
    </row>
    <row r="18" spans="1:8" x14ac:dyDescent="0.35">
      <c r="A18" t="s">
        <v>43</v>
      </c>
      <c r="B18" t="s">
        <v>13</v>
      </c>
      <c r="C18">
        <v>2</v>
      </c>
      <c r="D18">
        <v>120</v>
      </c>
      <c r="E18">
        <v>240</v>
      </c>
      <c r="F18" t="s">
        <v>18</v>
      </c>
      <c r="G18" t="s">
        <v>19</v>
      </c>
      <c r="H18" s="1">
        <v>45582</v>
      </c>
    </row>
    <row r="19" spans="1:8" x14ac:dyDescent="0.35">
      <c r="A19" t="s">
        <v>44</v>
      </c>
      <c r="B19" t="s">
        <v>17</v>
      </c>
      <c r="C19">
        <v>1</v>
      </c>
      <c r="D19">
        <v>60</v>
      </c>
      <c r="E19">
        <v>60</v>
      </c>
      <c r="F19" t="s">
        <v>22</v>
      </c>
      <c r="G19" t="s">
        <v>15</v>
      </c>
      <c r="H19" s="1">
        <v>45583</v>
      </c>
    </row>
    <row r="20" spans="1:8" x14ac:dyDescent="0.35">
      <c r="A20" t="s">
        <v>45</v>
      </c>
      <c r="B20" t="s">
        <v>24</v>
      </c>
      <c r="C20">
        <v>2</v>
      </c>
      <c r="D20">
        <v>200</v>
      </c>
      <c r="E20">
        <v>400</v>
      </c>
      <c r="F20" t="s">
        <v>14</v>
      </c>
      <c r="G20" t="s">
        <v>19</v>
      </c>
      <c r="H20" s="1">
        <v>45584</v>
      </c>
    </row>
    <row r="21" spans="1:8" x14ac:dyDescent="0.35">
      <c r="A21" t="s">
        <v>46</v>
      </c>
      <c r="B21" t="s">
        <v>26</v>
      </c>
      <c r="C21">
        <v>1</v>
      </c>
      <c r="D21">
        <v>300</v>
      </c>
      <c r="E21">
        <v>300</v>
      </c>
      <c r="F21" t="s">
        <v>18</v>
      </c>
      <c r="G21" t="s">
        <v>15</v>
      </c>
      <c r="H21" s="1">
        <v>45585</v>
      </c>
    </row>
    <row r="22" spans="1:8" x14ac:dyDescent="0.35">
      <c r="A22" t="s">
        <v>47</v>
      </c>
      <c r="B22" t="s">
        <v>30</v>
      </c>
      <c r="C22">
        <v>2</v>
      </c>
      <c r="E22">
        <v>400</v>
      </c>
      <c r="F22" t="s">
        <v>22</v>
      </c>
      <c r="G22" t="s">
        <v>19</v>
      </c>
      <c r="H22" s="1">
        <v>45586</v>
      </c>
    </row>
    <row r="23" spans="1:8" x14ac:dyDescent="0.35">
      <c r="A23" t="s">
        <v>48</v>
      </c>
      <c r="B23" t="s">
        <v>28</v>
      </c>
      <c r="C23">
        <v>1</v>
      </c>
      <c r="D23">
        <v>150</v>
      </c>
      <c r="E23">
        <v>150</v>
      </c>
      <c r="F23" t="s">
        <v>14</v>
      </c>
      <c r="G23" t="s">
        <v>15</v>
      </c>
      <c r="H23" s="1">
        <v>45587</v>
      </c>
    </row>
    <row r="24" spans="1:8" x14ac:dyDescent="0.35">
      <c r="A24" t="s">
        <v>49</v>
      </c>
      <c r="B24" t="s">
        <v>21</v>
      </c>
      <c r="C24">
        <v>3</v>
      </c>
      <c r="D24">
        <v>150</v>
      </c>
      <c r="E24">
        <v>450</v>
      </c>
      <c r="F24" t="s">
        <v>18</v>
      </c>
      <c r="G24" t="s">
        <v>19</v>
      </c>
      <c r="H24" s="1">
        <v>45588</v>
      </c>
    </row>
    <row r="25" spans="1:8" x14ac:dyDescent="0.35">
      <c r="A25" t="s">
        <v>50</v>
      </c>
      <c r="B25" t="s">
        <v>32</v>
      </c>
      <c r="C25">
        <v>2</v>
      </c>
      <c r="D25">
        <v>180</v>
      </c>
      <c r="E25">
        <v>360</v>
      </c>
      <c r="F25" t="s">
        <v>22</v>
      </c>
      <c r="G25" t="s">
        <v>15</v>
      </c>
      <c r="H25" s="1">
        <v>45589</v>
      </c>
    </row>
    <row r="26" spans="1:8" x14ac:dyDescent="0.35">
      <c r="A26" t="s">
        <v>51</v>
      </c>
      <c r="B26" t="s">
        <v>34</v>
      </c>
      <c r="D26">
        <v>90</v>
      </c>
      <c r="E26">
        <v>180</v>
      </c>
      <c r="F26" t="s">
        <v>14</v>
      </c>
      <c r="G26" t="s">
        <v>19</v>
      </c>
      <c r="H26" s="1">
        <v>45590</v>
      </c>
    </row>
    <row r="27" spans="1:8" x14ac:dyDescent="0.35">
      <c r="A27" t="s">
        <v>52</v>
      </c>
      <c r="B27" t="s">
        <v>13</v>
      </c>
      <c r="C27">
        <v>1</v>
      </c>
      <c r="D27">
        <v>120</v>
      </c>
      <c r="E27">
        <v>120</v>
      </c>
      <c r="F27" t="s">
        <v>18</v>
      </c>
      <c r="G27" t="s">
        <v>15</v>
      </c>
      <c r="H27" s="1">
        <v>45591</v>
      </c>
    </row>
    <row r="28" spans="1:8" x14ac:dyDescent="0.35">
      <c r="A28" t="s">
        <v>53</v>
      </c>
      <c r="B28" t="s">
        <v>17</v>
      </c>
      <c r="C28">
        <v>2</v>
      </c>
      <c r="D28">
        <v>60</v>
      </c>
      <c r="E28">
        <v>120</v>
      </c>
      <c r="F28" t="s">
        <v>22</v>
      </c>
      <c r="G28" t="s">
        <v>19</v>
      </c>
      <c r="H28" s="1">
        <v>45592</v>
      </c>
    </row>
    <row r="29" spans="1:8" x14ac:dyDescent="0.35">
      <c r="A29" t="s">
        <v>54</v>
      </c>
      <c r="B29" t="s">
        <v>24</v>
      </c>
      <c r="C29">
        <v>3</v>
      </c>
      <c r="D29">
        <v>200</v>
      </c>
      <c r="E29">
        <v>600</v>
      </c>
      <c r="F29" t="s">
        <v>14</v>
      </c>
      <c r="G29" t="s">
        <v>15</v>
      </c>
      <c r="H29" s="1">
        <v>45593</v>
      </c>
    </row>
    <row r="30" spans="1:8" x14ac:dyDescent="0.35">
      <c r="A30" t="s">
        <v>55</v>
      </c>
      <c r="B30" t="s">
        <v>26</v>
      </c>
      <c r="C30">
        <v>2</v>
      </c>
      <c r="D30">
        <v>300</v>
      </c>
      <c r="E30">
        <v>600</v>
      </c>
      <c r="F30" t="s">
        <v>18</v>
      </c>
      <c r="G30" t="s">
        <v>19</v>
      </c>
      <c r="H30" s="1">
        <v>45594</v>
      </c>
    </row>
    <row r="31" spans="1:8" x14ac:dyDescent="0.35">
      <c r="A31" t="s">
        <v>56</v>
      </c>
      <c r="B31" t="s">
        <v>30</v>
      </c>
      <c r="C31">
        <v>1</v>
      </c>
      <c r="D31">
        <v>220</v>
      </c>
      <c r="E31">
        <v>220</v>
      </c>
      <c r="F31" t="s">
        <v>22</v>
      </c>
      <c r="G31" t="s">
        <v>15</v>
      </c>
      <c r="H31" s="1">
        <v>45595</v>
      </c>
    </row>
    <row r="32" spans="1:8" x14ac:dyDescent="0.35">
      <c r="A32" t="s">
        <v>57</v>
      </c>
      <c r="B32" t="s">
        <v>32</v>
      </c>
      <c r="C32">
        <v>2</v>
      </c>
      <c r="D32">
        <v>180</v>
      </c>
      <c r="E32">
        <v>360</v>
      </c>
      <c r="F32" t="s">
        <v>14</v>
      </c>
      <c r="G32" t="s">
        <v>19</v>
      </c>
      <c r="H32" s="1">
        <v>45596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A739-AD23-4095-8EE1-E3EAE922C304}">
  <dimension ref="B2:P35"/>
  <sheetViews>
    <sheetView zoomScale="54" workbookViewId="0">
      <selection activeCell="H27" sqref="H27"/>
    </sheetView>
  </sheetViews>
  <sheetFormatPr defaultRowHeight="14.5" x14ac:dyDescent="0.35"/>
  <cols>
    <col min="1" max="1" width="14.90625" customWidth="1"/>
    <col min="2" max="2" width="14.6328125" customWidth="1"/>
    <col min="3" max="3" width="14.453125" customWidth="1"/>
    <col min="4" max="4" width="12.81640625" customWidth="1"/>
    <col min="5" max="5" width="19.453125" customWidth="1"/>
    <col min="6" max="6" width="19" bestFit="1" customWidth="1"/>
    <col min="7" max="7" width="21.1796875" customWidth="1"/>
    <col min="8" max="8" width="21" customWidth="1"/>
    <col min="9" max="9" width="18" customWidth="1"/>
    <col min="10" max="10" width="12.26953125" customWidth="1"/>
    <col min="11" max="11" width="15.7265625" customWidth="1"/>
    <col min="12" max="12" width="15" customWidth="1"/>
  </cols>
  <sheetData>
    <row r="2" spans="2:16" ht="44" customHeight="1" x14ac:dyDescent="0.35">
      <c r="B2" s="34" t="s">
        <v>68</v>
      </c>
      <c r="C2" s="35"/>
      <c r="D2" s="35"/>
      <c r="E2" s="35"/>
      <c r="F2" s="35"/>
      <c r="G2" s="35"/>
      <c r="H2" s="35"/>
      <c r="I2" s="35"/>
      <c r="J2" s="35"/>
      <c r="K2" s="35"/>
      <c r="L2" s="35"/>
    </row>
    <row r="3" spans="2:16" ht="19.5" x14ac:dyDescent="0.45">
      <c r="B3" s="22" t="s">
        <v>0</v>
      </c>
      <c r="C3" s="23" t="s">
        <v>1</v>
      </c>
      <c r="D3" s="24" t="s">
        <v>2</v>
      </c>
      <c r="E3" s="24" t="s">
        <v>3</v>
      </c>
      <c r="F3" s="24" t="s">
        <v>4</v>
      </c>
      <c r="G3" s="24" t="s">
        <v>5</v>
      </c>
      <c r="H3" s="24" t="s">
        <v>6</v>
      </c>
      <c r="I3" s="24" t="s">
        <v>7</v>
      </c>
      <c r="J3" s="24" t="s">
        <v>8</v>
      </c>
      <c r="K3" s="24" t="s">
        <v>9</v>
      </c>
      <c r="L3" s="25" t="s">
        <v>10</v>
      </c>
    </row>
    <row r="4" spans="2:16" ht="19.5" x14ac:dyDescent="0.45">
      <c r="B4" s="26" t="s">
        <v>12</v>
      </c>
      <c r="C4" s="27" t="s">
        <v>13</v>
      </c>
      <c r="D4" s="27">
        <v>2</v>
      </c>
      <c r="E4" s="27">
        <v>120</v>
      </c>
      <c r="F4" s="27">
        <v>240</v>
      </c>
      <c r="G4" s="27" t="s">
        <v>14</v>
      </c>
      <c r="H4" s="27" t="s">
        <v>15</v>
      </c>
      <c r="I4" s="28">
        <v>45566</v>
      </c>
      <c r="J4" s="27">
        <f>DAY(I4)</f>
        <v>1</v>
      </c>
      <c r="K4" s="27" t="str">
        <f t="shared" ref="K4:K34" si="0">TEXT(I4,"mmm")</f>
        <v>Oct</v>
      </c>
      <c r="L4" s="29">
        <f>YEAR(I4)</f>
        <v>2024</v>
      </c>
    </row>
    <row r="5" spans="2:16" ht="19.5" x14ac:dyDescent="0.45">
      <c r="B5" s="26" t="s">
        <v>16</v>
      </c>
      <c r="C5" s="27" t="s">
        <v>17</v>
      </c>
      <c r="D5" s="27">
        <v>3</v>
      </c>
      <c r="E5" s="27">
        <v>60</v>
      </c>
      <c r="F5" s="27">
        <v>180</v>
      </c>
      <c r="G5" s="27" t="s">
        <v>18</v>
      </c>
      <c r="H5" s="27" t="s">
        <v>19</v>
      </c>
      <c r="I5" s="28">
        <v>45567</v>
      </c>
      <c r="J5" s="27">
        <f t="shared" ref="J5:J34" si="1">DAY(I5)</f>
        <v>2</v>
      </c>
      <c r="K5" s="27" t="str">
        <f t="shared" si="0"/>
        <v>Oct</v>
      </c>
      <c r="L5" s="29">
        <f t="shared" ref="L5:L34" si="2">YEAR(I5)</f>
        <v>2024</v>
      </c>
      <c r="P5" s="4"/>
    </row>
    <row r="6" spans="2:16" ht="19.5" x14ac:dyDescent="0.45">
      <c r="B6" s="26" t="s">
        <v>20</v>
      </c>
      <c r="C6" s="27" t="s">
        <v>21</v>
      </c>
      <c r="D6" s="27">
        <v>1</v>
      </c>
      <c r="E6" s="27">
        <v>150</v>
      </c>
      <c r="F6" s="27">
        <v>150</v>
      </c>
      <c r="G6" s="27" t="s">
        <v>22</v>
      </c>
      <c r="H6" s="27" t="s">
        <v>15</v>
      </c>
      <c r="I6" s="28">
        <v>45568</v>
      </c>
      <c r="J6" s="27">
        <f t="shared" si="1"/>
        <v>3</v>
      </c>
      <c r="K6" s="27" t="str">
        <f t="shared" si="0"/>
        <v>Oct</v>
      </c>
      <c r="L6" s="29">
        <f t="shared" si="2"/>
        <v>2024</v>
      </c>
    </row>
    <row r="7" spans="2:16" ht="19.5" x14ac:dyDescent="0.45">
      <c r="B7" s="26" t="s">
        <v>23</v>
      </c>
      <c r="C7" s="27" t="s">
        <v>24</v>
      </c>
      <c r="D7" s="27">
        <v>2</v>
      </c>
      <c r="E7" s="27">
        <v>200</v>
      </c>
      <c r="F7" s="27">
        <v>400</v>
      </c>
      <c r="G7" s="27" t="s">
        <v>14</v>
      </c>
      <c r="H7" s="27" t="s">
        <v>19</v>
      </c>
      <c r="I7" s="28">
        <v>45569</v>
      </c>
      <c r="J7" s="27">
        <f t="shared" si="1"/>
        <v>4</v>
      </c>
      <c r="K7" s="27" t="str">
        <f t="shared" si="0"/>
        <v>Oct</v>
      </c>
      <c r="L7" s="29">
        <f t="shared" si="2"/>
        <v>2024</v>
      </c>
    </row>
    <row r="8" spans="2:16" ht="19.5" x14ac:dyDescent="0.45">
      <c r="B8" s="26" t="s">
        <v>25</v>
      </c>
      <c r="C8" s="27" t="s">
        <v>26</v>
      </c>
      <c r="D8" s="27">
        <v>1</v>
      </c>
      <c r="E8" s="27">
        <v>300</v>
      </c>
      <c r="F8" s="27">
        <v>300</v>
      </c>
      <c r="G8" s="27" t="s">
        <v>18</v>
      </c>
      <c r="H8" s="27" t="s">
        <v>15</v>
      </c>
      <c r="I8" s="28">
        <v>45570</v>
      </c>
      <c r="J8" s="27">
        <f t="shared" si="1"/>
        <v>5</v>
      </c>
      <c r="K8" s="27" t="str">
        <f t="shared" si="0"/>
        <v>Oct</v>
      </c>
      <c r="L8" s="29">
        <f t="shared" si="2"/>
        <v>2024</v>
      </c>
    </row>
    <row r="9" spans="2:16" ht="19.5" x14ac:dyDescent="0.45">
      <c r="B9" s="26" t="s">
        <v>27</v>
      </c>
      <c r="C9" s="27" t="s">
        <v>58</v>
      </c>
      <c r="D9" s="27">
        <v>2</v>
      </c>
      <c r="E9" s="27">
        <v>100</v>
      </c>
      <c r="F9" s="27">
        <v>200</v>
      </c>
      <c r="G9" s="27" t="s">
        <v>22</v>
      </c>
      <c r="H9" s="27" t="s">
        <v>58</v>
      </c>
      <c r="I9" s="28">
        <v>45571</v>
      </c>
      <c r="J9" s="27">
        <f t="shared" si="1"/>
        <v>6</v>
      </c>
      <c r="K9" s="27" t="str">
        <f t="shared" si="0"/>
        <v>Oct</v>
      </c>
      <c r="L9" s="29">
        <f t="shared" si="2"/>
        <v>2024</v>
      </c>
    </row>
    <row r="10" spans="2:16" ht="19.5" x14ac:dyDescent="0.45">
      <c r="B10" s="26" t="s">
        <v>29</v>
      </c>
      <c r="C10" s="27" t="s">
        <v>30</v>
      </c>
      <c r="D10" s="27">
        <v>3</v>
      </c>
      <c r="E10" s="27">
        <v>220</v>
      </c>
      <c r="F10" s="27">
        <v>440</v>
      </c>
      <c r="G10" s="27" t="s">
        <v>14</v>
      </c>
      <c r="H10" s="27" t="s">
        <v>19</v>
      </c>
      <c r="I10" s="28">
        <v>45572</v>
      </c>
      <c r="J10" s="27">
        <f t="shared" si="1"/>
        <v>7</v>
      </c>
      <c r="K10" s="27" t="str">
        <f t="shared" si="0"/>
        <v>Oct</v>
      </c>
      <c r="L10" s="29">
        <f t="shared" si="2"/>
        <v>2024</v>
      </c>
    </row>
    <row r="11" spans="2:16" ht="19.5" x14ac:dyDescent="0.45">
      <c r="B11" s="26" t="s">
        <v>31</v>
      </c>
      <c r="C11" s="27" t="s">
        <v>32</v>
      </c>
      <c r="D11" s="27">
        <v>2</v>
      </c>
      <c r="E11" s="27">
        <v>180</v>
      </c>
      <c r="F11" s="27">
        <v>450</v>
      </c>
      <c r="G11" s="27" t="s">
        <v>18</v>
      </c>
      <c r="H11" s="27" t="s">
        <v>15</v>
      </c>
      <c r="I11" s="28">
        <v>45573</v>
      </c>
      <c r="J11" s="27">
        <f t="shared" si="1"/>
        <v>8</v>
      </c>
      <c r="K11" s="27" t="str">
        <f t="shared" si="0"/>
        <v>Oct</v>
      </c>
      <c r="L11" s="29">
        <f t="shared" si="2"/>
        <v>2024</v>
      </c>
    </row>
    <row r="12" spans="2:16" ht="19.5" x14ac:dyDescent="0.45">
      <c r="B12" s="26" t="s">
        <v>33</v>
      </c>
      <c r="C12" s="27" t="s">
        <v>34</v>
      </c>
      <c r="D12" s="27">
        <v>2</v>
      </c>
      <c r="E12" s="27">
        <v>90</v>
      </c>
      <c r="F12" s="27">
        <v>180</v>
      </c>
      <c r="G12" s="27" t="s">
        <v>22</v>
      </c>
      <c r="H12" s="27" t="s">
        <v>19</v>
      </c>
      <c r="I12" s="28">
        <v>45574</v>
      </c>
      <c r="J12" s="27">
        <f t="shared" si="1"/>
        <v>9</v>
      </c>
      <c r="K12" s="27" t="str">
        <f t="shared" si="0"/>
        <v>Oct</v>
      </c>
      <c r="L12" s="29">
        <f t="shared" si="2"/>
        <v>2024</v>
      </c>
    </row>
    <row r="13" spans="2:16" ht="19.5" x14ac:dyDescent="0.45">
      <c r="B13" s="26" t="s">
        <v>36</v>
      </c>
      <c r="C13" s="27" t="s">
        <v>13</v>
      </c>
      <c r="D13" s="27">
        <v>1</v>
      </c>
      <c r="E13" s="27">
        <v>120</v>
      </c>
      <c r="F13" s="27">
        <v>120</v>
      </c>
      <c r="G13" s="27" t="s">
        <v>14</v>
      </c>
      <c r="H13" s="27" t="s">
        <v>15</v>
      </c>
      <c r="I13" s="28">
        <v>45575</v>
      </c>
      <c r="J13" s="27">
        <f t="shared" si="1"/>
        <v>10</v>
      </c>
      <c r="K13" s="27" t="str">
        <f t="shared" si="0"/>
        <v>Oct</v>
      </c>
      <c r="L13" s="29">
        <f t="shared" si="2"/>
        <v>2024</v>
      </c>
    </row>
    <row r="14" spans="2:16" ht="19.5" x14ac:dyDescent="0.45">
      <c r="B14" s="26" t="s">
        <v>37</v>
      </c>
      <c r="C14" s="27" t="s">
        <v>17</v>
      </c>
      <c r="D14" s="27">
        <v>2</v>
      </c>
      <c r="E14" s="27">
        <v>60</v>
      </c>
      <c r="F14" s="27">
        <v>120</v>
      </c>
      <c r="G14" s="27" t="s">
        <v>18</v>
      </c>
      <c r="H14" s="27" t="s">
        <v>19</v>
      </c>
      <c r="I14" s="28">
        <v>45576</v>
      </c>
      <c r="J14" s="27">
        <f t="shared" si="1"/>
        <v>11</v>
      </c>
      <c r="K14" s="27" t="str">
        <f t="shared" si="0"/>
        <v>Oct</v>
      </c>
      <c r="L14" s="29">
        <f t="shared" si="2"/>
        <v>2024</v>
      </c>
    </row>
    <row r="15" spans="2:16" ht="19.5" x14ac:dyDescent="0.45">
      <c r="B15" s="26" t="s">
        <v>38</v>
      </c>
      <c r="C15" s="27" t="s">
        <v>24</v>
      </c>
      <c r="D15" s="27">
        <v>2</v>
      </c>
      <c r="E15" s="27">
        <v>200</v>
      </c>
      <c r="F15" s="27">
        <v>200</v>
      </c>
      <c r="G15" s="27" t="s">
        <v>22</v>
      </c>
      <c r="H15" s="27" t="s">
        <v>15</v>
      </c>
      <c r="I15" s="28">
        <v>45577</v>
      </c>
      <c r="J15" s="27">
        <f t="shared" si="1"/>
        <v>12</v>
      </c>
      <c r="K15" s="27" t="str">
        <f t="shared" si="0"/>
        <v>Oct</v>
      </c>
      <c r="L15" s="29">
        <f t="shared" si="2"/>
        <v>2024</v>
      </c>
    </row>
    <row r="16" spans="2:16" ht="19.5" x14ac:dyDescent="0.45">
      <c r="B16" s="26" t="s">
        <v>39</v>
      </c>
      <c r="C16" s="27" t="s">
        <v>26</v>
      </c>
      <c r="D16" s="27">
        <v>2</v>
      </c>
      <c r="E16" s="27">
        <v>300</v>
      </c>
      <c r="F16" s="27">
        <v>600</v>
      </c>
      <c r="G16" s="27" t="s">
        <v>14</v>
      </c>
      <c r="H16" s="27" t="s">
        <v>19</v>
      </c>
      <c r="I16" s="28">
        <v>45578</v>
      </c>
      <c r="J16" s="27">
        <f t="shared" si="1"/>
        <v>13</v>
      </c>
      <c r="K16" s="27" t="str">
        <f t="shared" si="0"/>
        <v>Oct</v>
      </c>
      <c r="L16" s="29">
        <f t="shared" si="2"/>
        <v>2024</v>
      </c>
    </row>
    <row r="17" spans="2:12" ht="19.5" x14ac:dyDescent="0.45">
      <c r="B17" s="26" t="s">
        <v>40</v>
      </c>
      <c r="C17" s="27" t="s">
        <v>21</v>
      </c>
      <c r="D17" s="27">
        <v>1</v>
      </c>
      <c r="E17" s="27">
        <v>150</v>
      </c>
      <c r="F17" s="27">
        <v>150</v>
      </c>
      <c r="G17" s="27" t="s">
        <v>18</v>
      </c>
      <c r="H17" s="27" t="s">
        <v>15</v>
      </c>
      <c r="I17" s="28">
        <v>45579</v>
      </c>
      <c r="J17" s="27">
        <f t="shared" si="1"/>
        <v>14</v>
      </c>
      <c r="K17" s="27" t="str">
        <f t="shared" si="0"/>
        <v>Oct</v>
      </c>
      <c r="L17" s="29">
        <f t="shared" si="2"/>
        <v>2024</v>
      </c>
    </row>
    <row r="18" spans="2:12" ht="19.5" x14ac:dyDescent="0.45">
      <c r="B18" s="26" t="s">
        <v>41</v>
      </c>
      <c r="C18" s="27" t="s">
        <v>32</v>
      </c>
      <c r="D18" s="27">
        <v>2</v>
      </c>
      <c r="E18" s="27">
        <v>180</v>
      </c>
      <c r="F18" s="27">
        <v>360</v>
      </c>
      <c r="G18" s="27" t="s">
        <v>22</v>
      </c>
      <c r="H18" s="27" t="s">
        <v>19</v>
      </c>
      <c r="I18" s="28">
        <v>45580</v>
      </c>
      <c r="J18" s="27">
        <f t="shared" si="1"/>
        <v>15</v>
      </c>
      <c r="K18" s="27" t="str">
        <f t="shared" si="0"/>
        <v>Oct</v>
      </c>
      <c r="L18" s="29">
        <f t="shared" si="2"/>
        <v>2024</v>
      </c>
    </row>
    <row r="19" spans="2:12" ht="19.5" x14ac:dyDescent="0.45">
      <c r="B19" s="26" t="s">
        <v>42</v>
      </c>
      <c r="C19" s="27" t="s">
        <v>34</v>
      </c>
      <c r="D19" s="27">
        <v>3</v>
      </c>
      <c r="E19" s="27">
        <v>90</v>
      </c>
      <c r="F19" s="27">
        <v>270</v>
      </c>
      <c r="G19" s="27" t="s">
        <v>14</v>
      </c>
      <c r="H19" s="27" t="s">
        <v>15</v>
      </c>
      <c r="I19" s="28">
        <v>45581</v>
      </c>
      <c r="J19" s="27">
        <f t="shared" si="1"/>
        <v>16</v>
      </c>
      <c r="K19" s="27" t="str">
        <f t="shared" si="0"/>
        <v>Oct</v>
      </c>
      <c r="L19" s="29">
        <f t="shared" si="2"/>
        <v>2024</v>
      </c>
    </row>
    <row r="20" spans="2:12" ht="19.5" x14ac:dyDescent="0.45">
      <c r="B20" s="26" t="s">
        <v>43</v>
      </c>
      <c r="C20" s="27" t="s">
        <v>13</v>
      </c>
      <c r="D20" s="27">
        <v>2</v>
      </c>
      <c r="E20" s="27">
        <v>120</v>
      </c>
      <c r="F20" s="27">
        <v>240</v>
      </c>
      <c r="G20" s="27" t="s">
        <v>18</v>
      </c>
      <c r="H20" s="27" t="s">
        <v>19</v>
      </c>
      <c r="I20" s="28">
        <v>45582</v>
      </c>
      <c r="J20" s="27">
        <f t="shared" si="1"/>
        <v>17</v>
      </c>
      <c r="K20" s="27" t="str">
        <f t="shared" si="0"/>
        <v>Oct</v>
      </c>
      <c r="L20" s="29">
        <f t="shared" si="2"/>
        <v>2024</v>
      </c>
    </row>
    <row r="21" spans="2:12" ht="19.5" x14ac:dyDescent="0.45">
      <c r="B21" s="26" t="s">
        <v>44</v>
      </c>
      <c r="C21" s="27" t="s">
        <v>17</v>
      </c>
      <c r="D21" s="27">
        <v>1</v>
      </c>
      <c r="E21" s="27">
        <v>60</v>
      </c>
      <c r="F21" s="27">
        <v>60</v>
      </c>
      <c r="G21" s="27" t="s">
        <v>22</v>
      </c>
      <c r="H21" s="27" t="s">
        <v>15</v>
      </c>
      <c r="I21" s="28">
        <v>45583</v>
      </c>
      <c r="J21" s="27">
        <f t="shared" si="1"/>
        <v>18</v>
      </c>
      <c r="K21" s="27" t="str">
        <f t="shared" si="0"/>
        <v>Oct</v>
      </c>
      <c r="L21" s="29">
        <f t="shared" si="2"/>
        <v>2024</v>
      </c>
    </row>
    <row r="22" spans="2:12" ht="19.5" x14ac:dyDescent="0.45">
      <c r="B22" s="26" t="s">
        <v>45</v>
      </c>
      <c r="C22" s="27" t="s">
        <v>24</v>
      </c>
      <c r="D22" s="27">
        <v>2</v>
      </c>
      <c r="E22" s="27">
        <v>200</v>
      </c>
      <c r="F22" s="27">
        <v>400</v>
      </c>
      <c r="G22" s="27" t="s">
        <v>14</v>
      </c>
      <c r="H22" s="27" t="s">
        <v>19</v>
      </c>
      <c r="I22" s="28">
        <v>45584</v>
      </c>
      <c r="J22" s="27">
        <f t="shared" si="1"/>
        <v>19</v>
      </c>
      <c r="K22" s="27" t="str">
        <f t="shared" si="0"/>
        <v>Oct</v>
      </c>
      <c r="L22" s="29">
        <f t="shared" si="2"/>
        <v>2024</v>
      </c>
    </row>
    <row r="23" spans="2:12" ht="19.5" x14ac:dyDescent="0.45">
      <c r="B23" s="26" t="s">
        <v>46</v>
      </c>
      <c r="C23" s="27" t="s">
        <v>26</v>
      </c>
      <c r="D23" s="27">
        <v>1</v>
      </c>
      <c r="E23" s="27">
        <v>300</v>
      </c>
      <c r="F23" s="27">
        <v>300</v>
      </c>
      <c r="G23" s="27" t="s">
        <v>18</v>
      </c>
      <c r="H23" s="27" t="s">
        <v>15</v>
      </c>
      <c r="I23" s="28">
        <v>45585</v>
      </c>
      <c r="J23" s="27">
        <f t="shared" si="1"/>
        <v>20</v>
      </c>
      <c r="K23" s="27" t="str">
        <f t="shared" si="0"/>
        <v>Oct</v>
      </c>
      <c r="L23" s="29">
        <f t="shared" si="2"/>
        <v>2024</v>
      </c>
    </row>
    <row r="24" spans="2:12" ht="19.5" x14ac:dyDescent="0.45">
      <c r="B24" s="26" t="s">
        <v>47</v>
      </c>
      <c r="C24" s="27" t="s">
        <v>30</v>
      </c>
      <c r="D24" s="27">
        <v>2</v>
      </c>
      <c r="E24" s="27">
        <v>300</v>
      </c>
      <c r="F24" s="27">
        <v>400</v>
      </c>
      <c r="G24" s="27" t="s">
        <v>22</v>
      </c>
      <c r="H24" s="27" t="s">
        <v>19</v>
      </c>
      <c r="I24" s="28">
        <v>45586</v>
      </c>
      <c r="J24" s="27">
        <f t="shared" si="1"/>
        <v>21</v>
      </c>
      <c r="K24" s="27" t="str">
        <f t="shared" si="0"/>
        <v>Oct</v>
      </c>
      <c r="L24" s="29">
        <f t="shared" si="2"/>
        <v>2024</v>
      </c>
    </row>
    <row r="25" spans="2:12" ht="19.5" x14ac:dyDescent="0.45">
      <c r="B25" s="26" t="s">
        <v>48</v>
      </c>
      <c r="C25" s="27" t="s">
        <v>28</v>
      </c>
      <c r="D25" s="27">
        <v>1</v>
      </c>
      <c r="E25" s="27">
        <v>150</v>
      </c>
      <c r="F25" s="27">
        <v>150</v>
      </c>
      <c r="G25" s="27" t="s">
        <v>14</v>
      </c>
      <c r="H25" s="27" t="s">
        <v>15</v>
      </c>
      <c r="I25" s="28">
        <v>45587</v>
      </c>
      <c r="J25" s="27">
        <f t="shared" si="1"/>
        <v>22</v>
      </c>
      <c r="K25" s="27" t="str">
        <f t="shared" si="0"/>
        <v>Oct</v>
      </c>
      <c r="L25" s="29">
        <f t="shared" si="2"/>
        <v>2024</v>
      </c>
    </row>
    <row r="26" spans="2:12" ht="19.5" x14ac:dyDescent="0.45">
      <c r="B26" s="26" t="s">
        <v>49</v>
      </c>
      <c r="C26" s="27" t="s">
        <v>21</v>
      </c>
      <c r="D26" s="27">
        <v>3</v>
      </c>
      <c r="E26" s="27">
        <v>150</v>
      </c>
      <c r="F26" s="27">
        <v>450</v>
      </c>
      <c r="G26" s="27" t="s">
        <v>18</v>
      </c>
      <c r="H26" s="27" t="s">
        <v>19</v>
      </c>
      <c r="I26" s="28">
        <v>45588</v>
      </c>
      <c r="J26" s="27">
        <f t="shared" si="1"/>
        <v>23</v>
      </c>
      <c r="K26" s="27" t="str">
        <f t="shared" si="0"/>
        <v>Oct</v>
      </c>
      <c r="L26" s="29">
        <f t="shared" si="2"/>
        <v>2024</v>
      </c>
    </row>
    <row r="27" spans="2:12" ht="19.5" x14ac:dyDescent="0.45">
      <c r="B27" s="26" t="s">
        <v>50</v>
      </c>
      <c r="C27" s="27" t="s">
        <v>32</v>
      </c>
      <c r="D27" s="27">
        <v>2</v>
      </c>
      <c r="E27" s="27">
        <v>180</v>
      </c>
      <c r="F27" s="27">
        <v>360</v>
      </c>
      <c r="G27" s="27" t="s">
        <v>22</v>
      </c>
      <c r="H27" s="27" t="s">
        <v>15</v>
      </c>
      <c r="I27" s="28">
        <v>45589</v>
      </c>
      <c r="J27" s="27">
        <f t="shared" si="1"/>
        <v>24</v>
      </c>
      <c r="K27" s="27" t="str">
        <f t="shared" si="0"/>
        <v>Oct</v>
      </c>
      <c r="L27" s="29">
        <f t="shared" si="2"/>
        <v>2024</v>
      </c>
    </row>
    <row r="28" spans="2:12" ht="19.5" x14ac:dyDescent="0.45">
      <c r="B28" s="26" t="s">
        <v>51</v>
      </c>
      <c r="C28" s="27" t="s">
        <v>34</v>
      </c>
      <c r="D28" s="27">
        <v>2</v>
      </c>
      <c r="E28" s="27">
        <v>90</v>
      </c>
      <c r="F28" s="27">
        <v>180</v>
      </c>
      <c r="G28" s="27" t="s">
        <v>14</v>
      </c>
      <c r="H28" s="27" t="s">
        <v>19</v>
      </c>
      <c r="I28" s="28">
        <v>45590</v>
      </c>
      <c r="J28" s="27">
        <f t="shared" si="1"/>
        <v>25</v>
      </c>
      <c r="K28" s="27" t="str">
        <f t="shared" si="0"/>
        <v>Oct</v>
      </c>
      <c r="L28" s="29">
        <f t="shared" si="2"/>
        <v>2024</v>
      </c>
    </row>
    <row r="29" spans="2:12" ht="19.5" x14ac:dyDescent="0.45">
      <c r="B29" s="26" t="s">
        <v>52</v>
      </c>
      <c r="C29" s="27" t="s">
        <v>13</v>
      </c>
      <c r="D29" s="27">
        <v>1</v>
      </c>
      <c r="E29" s="27">
        <v>120</v>
      </c>
      <c r="F29" s="27">
        <v>120</v>
      </c>
      <c r="G29" s="27" t="s">
        <v>18</v>
      </c>
      <c r="H29" s="27" t="s">
        <v>15</v>
      </c>
      <c r="I29" s="28">
        <v>45591</v>
      </c>
      <c r="J29" s="27">
        <f t="shared" si="1"/>
        <v>26</v>
      </c>
      <c r="K29" s="27" t="str">
        <f t="shared" si="0"/>
        <v>Oct</v>
      </c>
      <c r="L29" s="29">
        <f t="shared" si="2"/>
        <v>2024</v>
      </c>
    </row>
    <row r="30" spans="2:12" ht="19.5" x14ac:dyDescent="0.45">
      <c r="B30" s="26" t="s">
        <v>53</v>
      </c>
      <c r="C30" s="27" t="s">
        <v>17</v>
      </c>
      <c r="D30" s="27">
        <v>2</v>
      </c>
      <c r="E30" s="27">
        <v>60</v>
      </c>
      <c r="F30" s="27">
        <v>120</v>
      </c>
      <c r="G30" s="27" t="s">
        <v>22</v>
      </c>
      <c r="H30" s="27" t="s">
        <v>19</v>
      </c>
      <c r="I30" s="28">
        <v>45592</v>
      </c>
      <c r="J30" s="27">
        <f t="shared" si="1"/>
        <v>27</v>
      </c>
      <c r="K30" s="27" t="str">
        <f t="shared" si="0"/>
        <v>Oct</v>
      </c>
      <c r="L30" s="29">
        <f t="shared" si="2"/>
        <v>2024</v>
      </c>
    </row>
    <row r="31" spans="2:12" ht="19.5" x14ac:dyDescent="0.45">
      <c r="B31" s="26" t="s">
        <v>54</v>
      </c>
      <c r="C31" s="27" t="s">
        <v>24</v>
      </c>
      <c r="D31" s="27">
        <v>3</v>
      </c>
      <c r="E31" s="27">
        <v>200</v>
      </c>
      <c r="F31" s="27">
        <v>600</v>
      </c>
      <c r="G31" s="27" t="s">
        <v>14</v>
      </c>
      <c r="H31" s="27" t="s">
        <v>15</v>
      </c>
      <c r="I31" s="28">
        <v>45593</v>
      </c>
      <c r="J31" s="27">
        <f t="shared" si="1"/>
        <v>28</v>
      </c>
      <c r="K31" s="27" t="str">
        <f t="shared" si="0"/>
        <v>Oct</v>
      </c>
      <c r="L31" s="29">
        <f t="shared" si="2"/>
        <v>2024</v>
      </c>
    </row>
    <row r="32" spans="2:12" ht="19.5" x14ac:dyDescent="0.45">
      <c r="B32" s="26" t="s">
        <v>55</v>
      </c>
      <c r="C32" s="27" t="s">
        <v>26</v>
      </c>
      <c r="D32" s="27">
        <v>2</v>
      </c>
      <c r="E32" s="27">
        <v>300</v>
      </c>
      <c r="F32" s="27">
        <v>600</v>
      </c>
      <c r="G32" s="27" t="s">
        <v>18</v>
      </c>
      <c r="H32" s="27" t="s">
        <v>19</v>
      </c>
      <c r="I32" s="28">
        <v>45594</v>
      </c>
      <c r="J32" s="27">
        <f t="shared" si="1"/>
        <v>29</v>
      </c>
      <c r="K32" s="27" t="str">
        <f t="shared" si="0"/>
        <v>Oct</v>
      </c>
      <c r="L32" s="29">
        <f t="shared" si="2"/>
        <v>2024</v>
      </c>
    </row>
    <row r="33" spans="2:12" ht="19.5" x14ac:dyDescent="0.45">
      <c r="B33" s="26" t="s">
        <v>56</v>
      </c>
      <c r="C33" s="27" t="s">
        <v>30</v>
      </c>
      <c r="D33" s="27">
        <v>3</v>
      </c>
      <c r="E33" s="27">
        <v>220</v>
      </c>
      <c r="F33" s="27">
        <v>220</v>
      </c>
      <c r="G33" s="27" t="s">
        <v>22</v>
      </c>
      <c r="H33" s="27" t="s">
        <v>15</v>
      </c>
      <c r="I33" s="28">
        <v>45595</v>
      </c>
      <c r="J33" s="27">
        <f t="shared" si="1"/>
        <v>30</v>
      </c>
      <c r="K33" s="27" t="str">
        <f t="shared" si="0"/>
        <v>Oct</v>
      </c>
      <c r="L33" s="29">
        <f t="shared" si="2"/>
        <v>2024</v>
      </c>
    </row>
    <row r="34" spans="2:12" ht="19.5" x14ac:dyDescent="0.45">
      <c r="B34" s="30" t="s">
        <v>57</v>
      </c>
      <c r="C34" s="31" t="s">
        <v>32</v>
      </c>
      <c r="D34" s="31">
        <v>2</v>
      </c>
      <c r="E34" s="31">
        <v>180</v>
      </c>
      <c r="F34" s="31">
        <v>360</v>
      </c>
      <c r="G34" s="31" t="s">
        <v>14</v>
      </c>
      <c r="H34" s="31" t="s">
        <v>19</v>
      </c>
      <c r="I34" s="32">
        <v>45596</v>
      </c>
      <c r="J34" s="31">
        <f t="shared" si="1"/>
        <v>31</v>
      </c>
      <c r="K34" s="31" t="str">
        <f t="shared" si="0"/>
        <v>Oct</v>
      </c>
      <c r="L34" s="33">
        <f t="shared" si="2"/>
        <v>2024</v>
      </c>
    </row>
    <row r="35" spans="2:12" ht="19.5" x14ac:dyDescent="0.45">
      <c r="B35" s="30"/>
      <c r="C35" s="31"/>
      <c r="D35" s="31"/>
      <c r="E35" s="31"/>
      <c r="F35" s="31"/>
      <c r="G35" s="31"/>
      <c r="H35" s="31"/>
      <c r="I35" s="32"/>
      <c r="J35" s="31"/>
      <c r="K35" s="31"/>
      <c r="L35" s="33"/>
    </row>
  </sheetData>
  <mergeCells count="1">
    <mergeCell ref="B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BF7F-AB2F-4698-8153-216281D435AD}">
  <dimension ref="B2:L36"/>
  <sheetViews>
    <sheetView tabSelected="1" topLeftCell="A2" zoomScale="59" zoomScaleNormal="59" workbookViewId="0">
      <selection activeCell="Q10" sqref="Q10"/>
    </sheetView>
  </sheetViews>
  <sheetFormatPr defaultRowHeight="14.5" x14ac:dyDescent="0.35"/>
  <cols>
    <col min="2" max="2" width="18" customWidth="1"/>
    <col min="3" max="3" width="13.90625" customWidth="1"/>
    <col min="4" max="4" width="11.54296875" customWidth="1"/>
    <col min="5" max="5" width="15.36328125" customWidth="1"/>
    <col min="6" max="6" width="14.1796875" customWidth="1"/>
    <col min="7" max="7" width="20.36328125" customWidth="1"/>
    <col min="8" max="8" width="18.90625" customWidth="1"/>
    <col min="9" max="9" width="18.6328125" customWidth="1"/>
    <col min="10" max="10" width="11.7265625" customWidth="1"/>
    <col min="11" max="11" width="11" customWidth="1"/>
    <col min="12" max="12" width="8.6328125" customWidth="1"/>
    <col min="15" max="15" width="18.08984375" bestFit="1" customWidth="1"/>
    <col min="16" max="16" width="22.81640625" bestFit="1" customWidth="1"/>
    <col min="17" max="24" width="22.08984375" bestFit="1" customWidth="1"/>
    <col min="25" max="25" width="14.453125" bestFit="1" customWidth="1"/>
  </cols>
  <sheetData>
    <row r="2" spans="2:12" ht="39" customHeight="1" x14ac:dyDescent="0.35">
      <c r="B2" s="36" t="s">
        <v>67</v>
      </c>
      <c r="C2" s="37"/>
      <c r="D2" s="37"/>
      <c r="E2" s="37"/>
      <c r="F2" s="37"/>
      <c r="G2" s="37"/>
      <c r="H2" s="37"/>
      <c r="I2" s="37"/>
      <c r="J2" s="37"/>
      <c r="K2" s="37"/>
      <c r="L2" s="37"/>
    </row>
    <row r="3" spans="2:12" ht="18" customHeight="1" x14ac:dyDescent="0.35">
      <c r="B3" s="13" t="s">
        <v>0</v>
      </c>
      <c r="C3" s="13" t="s">
        <v>1</v>
      </c>
      <c r="D3" s="14" t="s">
        <v>2</v>
      </c>
      <c r="E3" s="14" t="s">
        <v>3</v>
      </c>
      <c r="F3" s="14" t="s">
        <v>4</v>
      </c>
      <c r="G3" s="14" t="s">
        <v>5</v>
      </c>
      <c r="H3" s="14" t="s">
        <v>6</v>
      </c>
      <c r="I3" s="14" t="s">
        <v>7</v>
      </c>
      <c r="J3" s="14" t="s">
        <v>8</v>
      </c>
      <c r="K3" s="14" t="s">
        <v>9</v>
      </c>
      <c r="L3" s="14" t="s">
        <v>10</v>
      </c>
    </row>
    <row r="4" spans="2:12" ht="18.5" x14ac:dyDescent="0.35">
      <c r="B4" s="15" t="s">
        <v>12</v>
      </c>
      <c r="C4" s="15" t="s">
        <v>13</v>
      </c>
      <c r="D4" s="15">
        <v>2</v>
      </c>
      <c r="E4" s="15">
        <v>120</v>
      </c>
      <c r="F4" s="15">
        <v>240</v>
      </c>
      <c r="G4" s="15" t="s">
        <v>14</v>
      </c>
      <c r="H4" s="15" t="s">
        <v>15</v>
      </c>
      <c r="I4" s="16">
        <v>45566</v>
      </c>
      <c r="J4" s="15">
        <f>DAY(I4)</f>
        <v>1</v>
      </c>
      <c r="K4" s="15" t="str">
        <f>TEXT(I4,"mmm")</f>
        <v>Oct</v>
      </c>
      <c r="L4" s="15">
        <f>YEAR(I4)</f>
        <v>2024</v>
      </c>
    </row>
    <row r="5" spans="2:12" ht="18.5" x14ac:dyDescent="0.35">
      <c r="B5" s="15" t="s">
        <v>16</v>
      </c>
      <c r="C5" s="15" t="s">
        <v>17</v>
      </c>
      <c r="D5" s="15">
        <v>3</v>
      </c>
      <c r="E5" s="15">
        <v>60</v>
      </c>
      <c r="F5" s="15">
        <v>180</v>
      </c>
      <c r="G5" s="15" t="s">
        <v>18</v>
      </c>
      <c r="H5" s="15" t="s">
        <v>19</v>
      </c>
      <c r="I5" s="16">
        <v>45567</v>
      </c>
      <c r="J5" s="15">
        <f t="shared" ref="J5:J34" si="0">DAY(I5)</f>
        <v>2</v>
      </c>
      <c r="K5" s="15" t="str">
        <f t="shared" ref="K5:K34" si="1">TEXT(I5,"mmm")</f>
        <v>Oct</v>
      </c>
      <c r="L5" s="15">
        <f t="shared" ref="L5:L34" si="2">YEAR(I5)</f>
        <v>2024</v>
      </c>
    </row>
    <row r="6" spans="2:12" ht="18.5" x14ac:dyDescent="0.35">
      <c r="B6" s="15" t="s">
        <v>20</v>
      </c>
      <c r="C6" s="15" t="s">
        <v>21</v>
      </c>
      <c r="D6" s="15">
        <v>1</v>
      </c>
      <c r="E6" s="15">
        <v>150</v>
      </c>
      <c r="F6" s="15">
        <v>150</v>
      </c>
      <c r="G6" s="15" t="s">
        <v>22</v>
      </c>
      <c r="H6" s="15" t="s">
        <v>15</v>
      </c>
      <c r="I6" s="16">
        <v>45568</v>
      </c>
      <c r="J6" s="15">
        <f t="shared" si="0"/>
        <v>3</v>
      </c>
      <c r="K6" s="15" t="str">
        <f t="shared" si="1"/>
        <v>Oct</v>
      </c>
      <c r="L6" s="15">
        <f t="shared" si="2"/>
        <v>2024</v>
      </c>
    </row>
    <row r="7" spans="2:12" ht="18.5" x14ac:dyDescent="0.35">
      <c r="B7" s="15" t="s">
        <v>23</v>
      </c>
      <c r="C7" s="15" t="s">
        <v>24</v>
      </c>
      <c r="D7" s="15">
        <v>2</v>
      </c>
      <c r="E7" s="15">
        <v>200</v>
      </c>
      <c r="F7" s="15">
        <v>400</v>
      </c>
      <c r="G7" s="15" t="s">
        <v>14</v>
      </c>
      <c r="H7" s="15" t="s">
        <v>19</v>
      </c>
      <c r="I7" s="16">
        <v>45569</v>
      </c>
      <c r="J7" s="15">
        <f t="shared" si="0"/>
        <v>4</v>
      </c>
      <c r="K7" s="15" t="str">
        <f t="shared" si="1"/>
        <v>Oct</v>
      </c>
      <c r="L7" s="15">
        <f t="shared" si="2"/>
        <v>2024</v>
      </c>
    </row>
    <row r="8" spans="2:12" ht="18.5" x14ac:dyDescent="0.35">
      <c r="B8" s="15" t="s">
        <v>25</v>
      </c>
      <c r="C8" s="15" t="s">
        <v>26</v>
      </c>
      <c r="D8" s="15">
        <v>1</v>
      </c>
      <c r="E8" s="15">
        <v>300</v>
      </c>
      <c r="F8" s="15">
        <v>300</v>
      </c>
      <c r="G8" s="15" t="s">
        <v>18</v>
      </c>
      <c r="H8" s="15" t="s">
        <v>15</v>
      </c>
      <c r="I8" s="16">
        <v>45570</v>
      </c>
      <c r="J8" s="15">
        <f t="shared" si="0"/>
        <v>5</v>
      </c>
      <c r="K8" s="15" t="str">
        <f t="shared" si="1"/>
        <v>Oct</v>
      </c>
      <c r="L8" s="15">
        <f t="shared" si="2"/>
        <v>2024</v>
      </c>
    </row>
    <row r="9" spans="2:12" ht="18.5" x14ac:dyDescent="0.35">
      <c r="B9" s="15" t="s">
        <v>27</v>
      </c>
      <c r="C9" s="15" t="s">
        <v>58</v>
      </c>
      <c r="D9" s="15">
        <v>2</v>
      </c>
      <c r="E9" s="15">
        <v>100</v>
      </c>
      <c r="F9" s="15">
        <v>200</v>
      </c>
      <c r="G9" s="15" t="s">
        <v>22</v>
      </c>
      <c r="H9" s="15" t="s">
        <v>58</v>
      </c>
      <c r="I9" s="16">
        <v>45571</v>
      </c>
      <c r="J9" s="15">
        <f t="shared" si="0"/>
        <v>6</v>
      </c>
      <c r="K9" s="15" t="str">
        <f t="shared" si="1"/>
        <v>Oct</v>
      </c>
      <c r="L9" s="15">
        <f t="shared" si="2"/>
        <v>2024</v>
      </c>
    </row>
    <row r="10" spans="2:12" ht="18.5" x14ac:dyDescent="0.35">
      <c r="B10" s="15" t="s">
        <v>29</v>
      </c>
      <c r="C10" s="15" t="s">
        <v>30</v>
      </c>
      <c r="D10" s="15">
        <v>3</v>
      </c>
      <c r="E10" s="15">
        <v>220</v>
      </c>
      <c r="F10" s="15">
        <v>440</v>
      </c>
      <c r="G10" s="15" t="s">
        <v>14</v>
      </c>
      <c r="H10" s="15" t="s">
        <v>19</v>
      </c>
      <c r="I10" s="16">
        <v>45572</v>
      </c>
      <c r="J10" s="15">
        <f t="shared" si="0"/>
        <v>7</v>
      </c>
      <c r="K10" s="15" t="str">
        <f t="shared" si="1"/>
        <v>Oct</v>
      </c>
      <c r="L10" s="15">
        <f t="shared" si="2"/>
        <v>2024</v>
      </c>
    </row>
    <row r="11" spans="2:12" ht="18.5" x14ac:dyDescent="0.35">
      <c r="B11" s="15" t="s">
        <v>31</v>
      </c>
      <c r="C11" s="15" t="s">
        <v>32</v>
      </c>
      <c r="D11" s="15">
        <v>2</v>
      </c>
      <c r="E11" s="15">
        <v>180</v>
      </c>
      <c r="F11" s="15">
        <v>450</v>
      </c>
      <c r="G11" s="15" t="s">
        <v>18</v>
      </c>
      <c r="H11" s="15" t="s">
        <v>15</v>
      </c>
      <c r="I11" s="16">
        <v>45573</v>
      </c>
      <c r="J11" s="15">
        <f t="shared" si="0"/>
        <v>8</v>
      </c>
      <c r="K11" s="15" t="str">
        <f t="shared" si="1"/>
        <v>Oct</v>
      </c>
      <c r="L11" s="15">
        <f t="shared" si="2"/>
        <v>2024</v>
      </c>
    </row>
    <row r="12" spans="2:12" ht="18.5" x14ac:dyDescent="0.35">
      <c r="B12" s="15" t="s">
        <v>33</v>
      </c>
      <c r="C12" s="15" t="s">
        <v>34</v>
      </c>
      <c r="D12" s="15">
        <v>2</v>
      </c>
      <c r="E12" s="15">
        <v>90</v>
      </c>
      <c r="F12" s="15">
        <v>180</v>
      </c>
      <c r="G12" s="15" t="s">
        <v>22</v>
      </c>
      <c r="H12" s="15" t="s">
        <v>19</v>
      </c>
      <c r="I12" s="16">
        <v>45574</v>
      </c>
      <c r="J12" s="15">
        <f t="shared" si="0"/>
        <v>9</v>
      </c>
      <c r="K12" s="15" t="str">
        <f t="shared" si="1"/>
        <v>Oct</v>
      </c>
      <c r="L12" s="15">
        <f t="shared" si="2"/>
        <v>2024</v>
      </c>
    </row>
    <row r="13" spans="2:12" ht="18.5" x14ac:dyDescent="0.35">
      <c r="B13" s="15" t="s">
        <v>36</v>
      </c>
      <c r="C13" s="15" t="s">
        <v>13</v>
      </c>
      <c r="D13" s="15">
        <v>1</v>
      </c>
      <c r="E13" s="15">
        <v>120</v>
      </c>
      <c r="F13" s="15">
        <v>120</v>
      </c>
      <c r="G13" s="15" t="s">
        <v>14</v>
      </c>
      <c r="H13" s="15" t="s">
        <v>15</v>
      </c>
      <c r="I13" s="16">
        <v>45575</v>
      </c>
      <c r="J13" s="15">
        <f t="shared" si="0"/>
        <v>10</v>
      </c>
      <c r="K13" s="15" t="str">
        <f t="shared" si="1"/>
        <v>Oct</v>
      </c>
      <c r="L13" s="15">
        <f t="shared" si="2"/>
        <v>2024</v>
      </c>
    </row>
    <row r="14" spans="2:12" ht="18.5" x14ac:dyDescent="0.35">
      <c r="B14" s="15" t="s">
        <v>37</v>
      </c>
      <c r="C14" s="15" t="s">
        <v>17</v>
      </c>
      <c r="D14" s="15">
        <v>2</v>
      </c>
      <c r="E14" s="15">
        <v>60</v>
      </c>
      <c r="F14" s="15">
        <v>120</v>
      </c>
      <c r="G14" s="15" t="s">
        <v>18</v>
      </c>
      <c r="H14" s="15" t="s">
        <v>19</v>
      </c>
      <c r="I14" s="16">
        <v>45576</v>
      </c>
      <c r="J14" s="15">
        <f t="shared" si="0"/>
        <v>11</v>
      </c>
      <c r="K14" s="15" t="str">
        <f t="shared" si="1"/>
        <v>Oct</v>
      </c>
      <c r="L14" s="15">
        <f t="shared" si="2"/>
        <v>2024</v>
      </c>
    </row>
    <row r="15" spans="2:12" ht="18.5" x14ac:dyDescent="0.35">
      <c r="B15" s="15" t="s">
        <v>38</v>
      </c>
      <c r="C15" s="15" t="s">
        <v>24</v>
      </c>
      <c r="D15" s="15">
        <v>2</v>
      </c>
      <c r="E15" s="15">
        <v>200</v>
      </c>
      <c r="F15" s="15">
        <v>200</v>
      </c>
      <c r="G15" s="15" t="s">
        <v>22</v>
      </c>
      <c r="H15" s="15" t="s">
        <v>15</v>
      </c>
      <c r="I15" s="16">
        <v>45577</v>
      </c>
      <c r="J15" s="15">
        <f t="shared" si="0"/>
        <v>12</v>
      </c>
      <c r="K15" s="15" t="str">
        <f t="shared" si="1"/>
        <v>Oct</v>
      </c>
      <c r="L15" s="15">
        <f t="shared" si="2"/>
        <v>2024</v>
      </c>
    </row>
    <row r="16" spans="2:12" ht="18.5" x14ac:dyDescent="0.35">
      <c r="B16" s="15" t="s">
        <v>39</v>
      </c>
      <c r="C16" s="15" t="s">
        <v>26</v>
      </c>
      <c r="D16" s="15">
        <v>2</v>
      </c>
      <c r="E16" s="15">
        <v>300</v>
      </c>
      <c r="F16" s="15">
        <v>600</v>
      </c>
      <c r="G16" s="15" t="s">
        <v>14</v>
      </c>
      <c r="H16" s="15" t="s">
        <v>19</v>
      </c>
      <c r="I16" s="16">
        <v>45578</v>
      </c>
      <c r="J16" s="15">
        <f t="shared" si="0"/>
        <v>13</v>
      </c>
      <c r="K16" s="15" t="str">
        <f t="shared" si="1"/>
        <v>Oct</v>
      </c>
      <c r="L16" s="15">
        <f t="shared" si="2"/>
        <v>2024</v>
      </c>
    </row>
    <row r="17" spans="2:12" ht="18.5" x14ac:dyDescent="0.35">
      <c r="B17" s="15" t="s">
        <v>40</v>
      </c>
      <c r="C17" s="15" t="s">
        <v>21</v>
      </c>
      <c r="D17" s="15">
        <v>1</v>
      </c>
      <c r="E17" s="15">
        <v>150</v>
      </c>
      <c r="F17" s="15">
        <v>150</v>
      </c>
      <c r="G17" s="15" t="s">
        <v>18</v>
      </c>
      <c r="H17" s="15" t="s">
        <v>15</v>
      </c>
      <c r="I17" s="16">
        <v>45579</v>
      </c>
      <c r="J17" s="15">
        <f t="shared" si="0"/>
        <v>14</v>
      </c>
      <c r="K17" s="15" t="str">
        <f t="shared" si="1"/>
        <v>Oct</v>
      </c>
      <c r="L17" s="15">
        <f t="shared" si="2"/>
        <v>2024</v>
      </c>
    </row>
    <row r="18" spans="2:12" ht="18.5" x14ac:dyDescent="0.35">
      <c r="B18" s="15" t="s">
        <v>41</v>
      </c>
      <c r="C18" s="15" t="s">
        <v>32</v>
      </c>
      <c r="D18" s="15">
        <v>2</v>
      </c>
      <c r="E18" s="15">
        <v>180</v>
      </c>
      <c r="F18" s="15">
        <v>360</v>
      </c>
      <c r="G18" s="15" t="s">
        <v>22</v>
      </c>
      <c r="H18" s="15" t="s">
        <v>19</v>
      </c>
      <c r="I18" s="16">
        <v>45580</v>
      </c>
      <c r="J18" s="15">
        <f t="shared" si="0"/>
        <v>15</v>
      </c>
      <c r="K18" s="15" t="str">
        <f t="shared" si="1"/>
        <v>Oct</v>
      </c>
      <c r="L18" s="15">
        <f t="shared" si="2"/>
        <v>2024</v>
      </c>
    </row>
    <row r="19" spans="2:12" ht="18.5" x14ac:dyDescent="0.35">
      <c r="B19" s="15" t="s">
        <v>42</v>
      </c>
      <c r="C19" s="15" t="s">
        <v>34</v>
      </c>
      <c r="D19" s="15">
        <v>3</v>
      </c>
      <c r="E19" s="15">
        <v>90</v>
      </c>
      <c r="F19" s="15">
        <v>270</v>
      </c>
      <c r="G19" s="15" t="s">
        <v>14</v>
      </c>
      <c r="H19" s="15" t="s">
        <v>15</v>
      </c>
      <c r="I19" s="16">
        <v>45581</v>
      </c>
      <c r="J19" s="15">
        <f t="shared" si="0"/>
        <v>16</v>
      </c>
      <c r="K19" s="15" t="str">
        <f t="shared" si="1"/>
        <v>Oct</v>
      </c>
      <c r="L19" s="15">
        <f t="shared" si="2"/>
        <v>2024</v>
      </c>
    </row>
    <row r="20" spans="2:12" ht="18.5" x14ac:dyDescent="0.35">
      <c r="B20" s="15" t="s">
        <v>43</v>
      </c>
      <c r="C20" s="15" t="s">
        <v>13</v>
      </c>
      <c r="D20" s="15">
        <v>2</v>
      </c>
      <c r="E20" s="15">
        <v>120</v>
      </c>
      <c r="F20" s="15">
        <v>240</v>
      </c>
      <c r="G20" s="15" t="s">
        <v>18</v>
      </c>
      <c r="H20" s="15" t="s">
        <v>19</v>
      </c>
      <c r="I20" s="16">
        <v>45582</v>
      </c>
      <c r="J20" s="15">
        <f t="shared" si="0"/>
        <v>17</v>
      </c>
      <c r="K20" s="15" t="str">
        <f t="shared" si="1"/>
        <v>Oct</v>
      </c>
      <c r="L20" s="15">
        <f t="shared" si="2"/>
        <v>2024</v>
      </c>
    </row>
    <row r="21" spans="2:12" ht="18.5" x14ac:dyDescent="0.35">
      <c r="B21" s="15" t="s">
        <v>44</v>
      </c>
      <c r="C21" s="15" t="s">
        <v>17</v>
      </c>
      <c r="D21" s="15">
        <v>1</v>
      </c>
      <c r="E21" s="15">
        <v>60</v>
      </c>
      <c r="F21" s="15">
        <v>60</v>
      </c>
      <c r="G21" s="15" t="s">
        <v>22</v>
      </c>
      <c r="H21" s="15" t="s">
        <v>15</v>
      </c>
      <c r="I21" s="16">
        <v>45583</v>
      </c>
      <c r="J21" s="15">
        <f t="shared" si="0"/>
        <v>18</v>
      </c>
      <c r="K21" s="15" t="str">
        <f t="shared" si="1"/>
        <v>Oct</v>
      </c>
      <c r="L21" s="15">
        <f t="shared" si="2"/>
        <v>2024</v>
      </c>
    </row>
    <row r="22" spans="2:12" ht="18.5" x14ac:dyDescent="0.35">
      <c r="B22" s="15" t="s">
        <v>45</v>
      </c>
      <c r="C22" s="15" t="s">
        <v>24</v>
      </c>
      <c r="D22" s="15">
        <v>2</v>
      </c>
      <c r="E22" s="15">
        <v>200</v>
      </c>
      <c r="F22" s="15">
        <v>400</v>
      </c>
      <c r="G22" s="15" t="s">
        <v>14</v>
      </c>
      <c r="H22" s="15" t="s">
        <v>19</v>
      </c>
      <c r="I22" s="16">
        <v>45584</v>
      </c>
      <c r="J22" s="15">
        <f t="shared" si="0"/>
        <v>19</v>
      </c>
      <c r="K22" s="15" t="str">
        <f t="shared" si="1"/>
        <v>Oct</v>
      </c>
      <c r="L22" s="15">
        <f t="shared" si="2"/>
        <v>2024</v>
      </c>
    </row>
    <row r="23" spans="2:12" ht="18.5" x14ac:dyDescent="0.35">
      <c r="B23" s="15" t="s">
        <v>46</v>
      </c>
      <c r="C23" s="15" t="s">
        <v>26</v>
      </c>
      <c r="D23" s="15">
        <v>1</v>
      </c>
      <c r="E23" s="15">
        <v>300</v>
      </c>
      <c r="F23" s="15">
        <v>300</v>
      </c>
      <c r="G23" s="15" t="s">
        <v>18</v>
      </c>
      <c r="H23" s="15" t="s">
        <v>15</v>
      </c>
      <c r="I23" s="16">
        <v>45585</v>
      </c>
      <c r="J23" s="15">
        <f t="shared" si="0"/>
        <v>20</v>
      </c>
      <c r="K23" s="15" t="str">
        <f t="shared" si="1"/>
        <v>Oct</v>
      </c>
      <c r="L23" s="15">
        <f t="shared" si="2"/>
        <v>2024</v>
      </c>
    </row>
    <row r="24" spans="2:12" ht="18.5" x14ac:dyDescent="0.35">
      <c r="B24" s="15" t="s">
        <v>47</v>
      </c>
      <c r="C24" s="15" t="s">
        <v>30</v>
      </c>
      <c r="D24" s="15">
        <v>2</v>
      </c>
      <c r="E24" s="15">
        <v>300</v>
      </c>
      <c r="F24" s="15">
        <v>400</v>
      </c>
      <c r="G24" s="15" t="s">
        <v>22</v>
      </c>
      <c r="H24" s="15" t="s">
        <v>19</v>
      </c>
      <c r="I24" s="16">
        <v>45586</v>
      </c>
      <c r="J24" s="15">
        <f t="shared" si="0"/>
        <v>21</v>
      </c>
      <c r="K24" s="15" t="str">
        <f t="shared" si="1"/>
        <v>Oct</v>
      </c>
      <c r="L24" s="15">
        <f t="shared" si="2"/>
        <v>2024</v>
      </c>
    </row>
    <row r="25" spans="2:12" ht="18.5" x14ac:dyDescent="0.35">
      <c r="B25" s="15" t="s">
        <v>48</v>
      </c>
      <c r="C25" s="15" t="s">
        <v>28</v>
      </c>
      <c r="D25" s="15">
        <v>1</v>
      </c>
      <c r="E25" s="15">
        <v>150</v>
      </c>
      <c r="F25" s="15">
        <v>150</v>
      </c>
      <c r="G25" s="15" t="s">
        <v>14</v>
      </c>
      <c r="H25" s="15" t="s">
        <v>15</v>
      </c>
      <c r="I25" s="16">
        <v>45587</v>
      </c>
      <c r="J25" s="15">
        <f t="shared" si="0"/>
        <v>22</v>
      </c>
      <c r="K25" s="15" t="str">
        <f t="shared" si="1"/>
        <v>Oct</v>
      </c>
      <c r="L25" s="15">
        <f t="shared" si="2"/>
        <v>2024</v>
      </c>
    </row>
    <row r="26" spans="2:12" ht="18.5" x14ac:dyDescent="0.35">
      <c r="B26" s="15" t="s">
        <v>49</v>
      </c>
      <c r="C26" s="15" t="s">
        <v>21</v>
      </c>
      <c r="D26" s="15">
        <v>3</v>
      </c>
      <c r="E26" s="15">
        <v>150</v>
      </c>
      <c r="F26" s="15">
        <v>450</v>
      </c>
      <c r="G26" s="15" t="s">
        <v>18</v>
      </c>
      <c r="H26" s="15" t="s">
        <v>19</v>
      </c>
      <c r="I26" s="16">
        <v>45588</v>
      </c>
      <c r="J26" s="15">
        <f t="shared" si="0"/>
        <v>23</v>
      </c>
      <c r="K26" s="15" t="str">
        <f t="shared" si="1"/>
        <v>Oct</v>
      </c>
      <c r="L26" s="15">
        <f t="shared" si="2"/>
        <v>2024</v>
      </c>
    </row>
    <row r="27" spans="2:12" ht="18.5" x14ac:dyDescent="0.35">
      <c r="B27" s="15" t="s">
        <v>50</v>
      </c>
      <c r="C27" s="15" t="s">
        <v>32</v>
      </c>
      <c r="D27" s="15">
        <v>2</v>
      </c>
      <c r="E27" s="15">
        <v>180</v>
      </c>
      <c r="F27" s="15">
        <v>360</v>
      </c>
      <c r="G27" s="15" t="s">
        <v>22</v>
      </c>
      <c r="H27" s="15" t="s">
        <v>15</v>
      </c>
      <c r="I27" s="16">
        <v>45589</v>
      </c>
      <c r="J27" s="15">
        <f t="shared" si="0"/>
        <v>24</v>
      </c>
      <c r="K27" s="15" t="str">
        <f t="shared" si="1"/>
        <v>Oct</v>
      </c>
      <c r="L27" s="15">
        <f t="shared" si="2"/>
        <v>2024</v>
      </c>
    </row>
    <row r="28" spans="2:12" ht="18.5" x14ac:dyDescent="0.35">
      <c r="B28" s="15" t="s">
        <v>51</v>
      </c>
      <c r="C28" s="15" t="s">
        <v>34</v>
      </c>
      <c r="D28" s="15">
        <v>2</v>
      </c>
      <c r="E28" s="15">
        <v>90</v>
      </c>
      <c r="F28" s="15">
        <v>180</v>
      </c>
      <c r="G28" s="15" t="s">
        <v>14</v>
      </c>
      <c r="H28" s="15" t="s">
        <v>19</v>
      </c>
      <c r="I28" s="16">
        <v>45590</v>
      </c>
      <c r="J28" s="15">
        <f t="shared" si="0"/>
        <v>25</v>
      </c>
      <c r="K28" s="15" t="str">
        <f t="shared" si="1"/>
        <v>Oct</v>
      </c>
      <c r="L28" s="15">
        <f t="shared" si="2"/>
        <v>2024</v>
      </c>
    </row>
    <row r="29" spans="2:12" ht="18.5" x14ac:dyDescent="0.35">
      <c r="B29" s="15" t="s">
        <v>52</v>
      </c>
      <c r="C29" s="15" t="s">
        <v>13</v>
      </c>
      <c r="D29" s="15">
        <v>1</v>
      </c>
      <c r="E29" s="15">
        <v>120</v>
      </c>
      <c r="F29" s="15">
        <v>120</v>
      </c>
      <c r="G29" s="15" t="s">
        <v>18</v>
      </c>
      <c r="H29" s="15" t="s">
        <v>15</v>
      </c>
      <c r="I29" s="16">
        <v>45591</v>
      </c>
      <c r="J29" s="15">
        <f t="shared" si="0"/>
        <v>26</v>
      </c>
      <c r="K29" s="15" t="str">
        <f t="shared" si="1"/>
        <v>Oct</v>
      </c>
      <c r="L29" s="15">
        <f t="shared" si="2"/>
        <v>2024</v>
      </c>
    </row>
    <row r="30" spans="2:12" ht="18.5" x14ac:dyDescent="0.35">
      <c r="B30" s="15" t="s">
        <v>53</v>
      </c>
      <c r="C30" s="15" t="s">
        <v>17</v>
      </c>
      <c r="D30" s="15">
        <v>2</v>
      </c>
      <c r="E30" s="15">
        <v>60</v>
      </c>
      <c r="F30" s="15">
        <v>120</v>
      </c>
      <c r="G30" s="15" t="s">
        <v>22</v>
      </c>
      <c r="H30" s="15" t="s">
        <v>19</v>
      </c>
      <c r="I30" s="16">
        <v>45592</v>
      </c>
      <c r="J30" s="15">
        <f t="shared" si="0"/>
        <v>27</v>
      </c>
      <c r="K30" s="15" t="str">
        <f t="shared" si="1"/>
        <v>Oct</v>
      </c>
      <c r="L30" s="15">
        <f t="shared" si="2"/>
        <v>2024</v>
      </c>
    </row>
    <row r="31" spans="2:12" ht="18.5" x14ac:dyDescent="0.35">
      <c r="B31" s="15" t="s">
        <v>54</v>
      </c>
      <c r="C31" s="15" t="s">
        <v>24</v>
      </c>
      <c r="D31" s="15">
        <v>3</v>
      </c>
      <c r="E31" s="15">
        <v>200</v>
      </c>
      <c r="F31" s="15">
        <v>600</v>
      </c>
      <c r="G31" s="15" t="s">
        <v>14</v>
      </c>
      <c r="H31" s="15" t="s">
        <v>15</v>
      </c>
      <c r="I31" s="16">
        <v>45593</v>
      </c>
      <c r="J31" s="15">
        <f t="shared" si="0"/>
        <v>28</v>
      </c>
      <c r="K31" s="15" t="str">
        <f t="shared" si="1"/>
        <v>Oct</v>
      </c>
      <c r="L31" s="15">
        <f t="shared" si="2"/>
        <v>2024</v>
      </c>
    </row>
    <row r="32" spans="2:12" ht="18.5" x14ac:dyDescent="0.35">
      <c r="B32" s="15" t="s">
        <v>55</v>
      </c>
      <c r="C32" s="15" t="s">
        <v>26</v>
      </c>
      <c r="D32" s="15">
        <v>2</v>
      </c>
      <c r="E32" s="15">
        <v>300</v>
      </c>
      <c r="F32" s="15">
        <v>600</v>
      </c>
      <c r="G32" s="15" t="s">
        <v>18</v>
      </c>
      <c r="H32" s="15" t="s">
        <v>19</v>
      </c>
      <c r="I32" s="16">
        <v>45594</v>
      </c>
      <c r="J32" s="15">
        <f t="shared" si="0"/>
        <v>29</v>
      </c>
      <c r="K32" s="15" t="str">
        <f t="shared" si="1"/>
        <v>Oct</v>
      </c>
      <c r="L32" s="15">
        <f t="shared" si="2"/>
        <v>2024</v>
      </c>
    </row>
    <row r="33" spans="2:12" ht="18.5" x14ac:dyDescent="0.35">
      <c r="B33" s="15" t="s">
        <v>56</v>
      </c>
      <c r="C33" s="15" t="s">
        <v>30</v>
      </c>
      <c r="D33" s="15">
        <v>3</v>
      </c>
      <c r="E33" s="15">
        <v>220</v>
      </c>
      <c r="F33" s="15">
        <v>220</v>
      </c>
      <c r="G33" s="15" t="s">
        <v>22</v>
      </c>
      <c r="H33" s="15" t="s">
        <v>15</v>
      </c>
      <c r="I33" s="16">
        <v>45595</v>
      </c>
      <c r="J33" s="15">
        <f t="shared" si="0"/>
        <v>30</v>
      </c>
      <c r="K33" s="15" t="str">
        <f t="shared" si="1"/>
        <v>Oct</v>
      </c>
      <c r="L33" s="15">
        <f t="shared" si="2"/>
        <v>2024</v>
      </c>
    </row>
    <row r="34" spans="2:12" ht="18.5" x14ac:dyDescent="0.35">
      <c r="B34" s="15" t="s">
        <v>57</v>
      </c>
      <c r="C34" s="15" t="s">
        <v>32</v>
      </c>
      <c r="D34" s="15">
        <v>2</v>
      </c>
      <c r="E34" s="15">
        <v>180</v>
      </c>
      <c r="F34" s="15">
        <v>360</v>
      </c>
      <c r="G34" s="15" t="s">
        <v>14</v>
      </c>
      <c r="H34" s="15" t="s">
        <v>19</v>
      </c>
      <c r="I34" s="16">
        <v>45596</v>
      </c>
      <c r="J34" s="15">
        <f t="shared" si="0"/>
        <v>31</v>
      </c>
      <c r="K34" s="15" t="str">
        <f t="shared" si="1"/>
        <v>Oct</v>
      </c>
      <c r="L34" s="15">
        <f t="shared" si="2"/>
        <v>2024</v>
      </c>
    </row>
    <row r="35" spans="2:12" ht="18.5" x14ac:dyDescent="0.35">
      <c r="B35" s="17"/>
      <c r="C35" s="18"/>
      <c r="D35" s="18"/>
      <c r="E35" s="18"/>
      <c r="F35" s="18"/>
      <c r="G35" s="18"/>
      <c r="H35" s="18"/>
      <c r="I35" s="19"/>
      <c r="J35" s="18"/>
      <c r="K35" s="18"/>
      <c r="L35" s="20"/>
    </row>
    <row r="36" spans="2:12" ht="18.5" x14ac:dyDescent="0.45">
      <c r="B36" s="21"/>
      <c r="C36" s="21"/>
      <c r="D36" s="21"/>
      <c r="E36" s="21"/>
      <c r="F36" s="21"/>
      <c r="G36" s="21"/>
      <c r="H36" s="21"/>
      <c r="I36" s="21"/>
      <c r="J36" s="21"/>
      <c r="K36" s="21"/>
      <c r="L36" s="21"/>
    </row>
  </sheetData>
  <mergeCells count="1">
    <mergeCell ref="B2:L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D0A3-219F-4DA0-A538-6095CB9BC863}">
  <sheetPr>
    <tabColor theme="7" tint="0.59999389629810485"/>
  </sheetPr>
  <dimension ref="A1:AZ73"/>
  <sheetViews>
    <sheetView zoomScaleNormal="100" workbookViewId="0">
      <selection activeCell="O26" sqref="O26"/>
    </sheetView>
  </sheetViews>
  <sheetFormatPr defaultRowHeight="14.5" x14ac:dyDescent="0.35"/>
  <cols>
    <col min="1" max="16384" width="8.7265625" style="6"/>
  </cols>
  <sheetData>
    <row r="1" spans="1:26" x14ac:dyDescent="0.35">
      <c r="A1" s="5"/>
      <c r="B1" s="5"/>
      <c r="C1" s="5"/>
      <c r="D1" s="5"/>
      <c r="E1" s="5"/>
      <c r="F1" s="5"/>
      <c r="G1" s="5"/>
      <c r="H1" s="5"/>
      <c r="I1" s="5"/>
      <c r="J1" s="5"/>
      <c r="K1" s="5"/>
      <c r="L1" s="5"/>
      <c r="M1" s="5"/>
      <c r="N1" s="5"/>
      <c r="O1" s="5"/>
      <c r="P1" s="5"/>
      <c r="Q1" s="5"/>
      <c r="R1" s="5"/>
      <c r="S1" s="5"/>
      <c r="T1" s="5"/>
      <c r="U1" s="5"/>
      <c r="V1" s="5"/>
      <c r="W1" s="5"/>
      <c r="X1" s="5"/>
      <c r="Y1" s="5"/>
      <c r="Z1" s="5"/>
    </row>
    <row r="2" spans="1:26" x14ac:dyDescent="0.35">
      <c r="A2" s="5"/>
      <c r="B2" s="5"/>
      <c r="C2" s="5"/>
      <c r="D2" s="5"/>
      <c r="E2" s="5"/>
      <c r="F2" s="5"/>
      <c r="G2" s="5"/>
      <c r="H2" s="5"/>
      <c r="I2" s="5"/>
      <c r="J2" s="5"/>
      <c r="K2" s="5"/>
      <c r="L2" s="5"/>
      <c r="M2" s="5"/>
      <c r="N2" s="5"/>
      <c r="O2" s="5"/>
      <c r="P2" s="5"/>
      <c r="Q2" s="5"/>
      <c r="R2" s="5"/>
      <c r="S2" s="5"/>
      <c r="T2" s="5"/>
      <c r="U2" s="5"/>
      <c r="V2" s="5"/>
      <c r="W2" s="5"/>
      <c r="X2" s="5"/>
      <c r="Y2" s="5"/>
      <c r="Z2" s="5"/>
    </row>
    <row r="3" spans="1:26" x14ac:dyDescent="0.35">
      <c r="A3" s="5"/>
      <c r="B3" s="5"/>
      <c r="C3" s="5"/>
      <c r="D3" s="5"/>
      <c r="E3" s="5"/>
      <c r="F3" s="5"/>
      <c r="G3" s="5"/>
      <c r="H3" s="5"/>
      <c r="I3" s="5"/>
      <c r="J3" s="5"/>
      <c r="K3" s="5"/>
      <c r="L3" s="5"/>
      <c r="M3" s="5"/>
      <c r="N3" s="5"/>
      <c r="O3" s="5"/>
      <c r="P3" s="5"/>
      <c r="Q3" s="5"/>
      <c r="R3" s="5"/>
      <c r="S3" s="5"/>
      <c r="T3" s="5"/>
      <c r="U3" s="5"/>
      <c r="V3" s="5"/>
      <c r="W3" s="5"/>
      <c r="X3" s="5"/>
      <c r="Y3" s="5"/>
      <c r="Z3" s="5"/>
    </row>
    <row r="4" spans="1:26" x14ac:dyDescent="0.35">
      <c r="A4" s="5"/>
      <c r="B4" s="5"/>
      <c r="C4" s="5"/>
      <c r="D4" s="5"/>
      <c r="E4" s="5"/>
      <c r="F4" s="5"/>
      <c r="G4" s="5"/>
      <c r="H4" s="5"/>
      <c r="I4" s="5"/>
      <c r="J4" s="5"/>
      <c r="K4" s="5"/>
      <c r="L4" s="5"/>
      <c r="M4" s="5"/>
      <c r="N4" s="5"/>
      <c r="O4" s="5"/>
      <c r="P4" s="5"/>
      <c r="Q4" s="5"/>
      <c r="R4" s="5"/>
      <c r="S4" s="5"/>
      <c r="T4" s="5"/>
      <c r="U4" s="5"/>
      <c r="V4" s="5"/>
      <c r="W4" s="5"/>
      <c r="X4" s="5"/>
      <c r="Y4" s="5"/>
      <c r="Z4" s="5"/>
    </row>
    <row r="5" spans="1:26" x14ac:dyDescent="0.35">
      <c r="A5" s="5"/>
      <c r="B5" s="5"/>
      <c r="C5" s="5"/>
      <c r="D5" s="5"/>
      <c r="E5" s="5"/>
      <c r="F5" s="5"/>
      <c r="G5" s="5"/>
      <c r="H5" s="5"/>
      <c r="I5" s="5"/>
      <c r="J5" s="5"/>
      <c r="K5" s="5"/>
      <c r="L5" s="5"/>
      <c r="M5" s="5"/>
      <c r="N5" s="5"/>
      <c r="O5" s="5"/>
      <c r="P5" s="5"/>
      <c r="Q5" s="5"/>
      <c r="R5" s="5"/>
      <c r="S5" s="5"/>
      <c r="T5" s="5"/>
      <c r="U5" s="5"/>
      <c r="V5" s="5"/>
      <c r="W5" s="5"/>
      <c r="X5" s="5"/>
      <c r="Y5" s="5"/>
      <c r="Z5" s="5"/>
    </row>
    <row r="6" spans="1:26" x14ac:dyDescent="0.35">
      <c r="A6" s="5"/>
      <c r="B6" s="5"/>
      <c r="C6" s="5"/>
      <c r="D6" s="5"/>
      <c r="E6" s="5"/>
      <c r="F6" s="5"/>
      <c r="G6" s="5"/>
      <c r="H6" s="5"/>
      <c r="I6" s="5"/>
      <c r="J6" s="5"/>
      <c r="K6" s="5"/>
      <c r="L6" s="5"/>
      <c r="M6" s="5"/>
      <c r="N6" s="5"/>
      <c r="O6" s="5"/>
      <c r="P6" s="5"/>
      <c r="Q6" s="5"/>
      <c r="R6" s="5"/>
      <c r="S6" s="5"/>
      <c r="T6" s="5"/>
      <c r="U6" s="5"/>
      <c r="V6" s="5"/>
      <c r="W6" s="5"/>
      <c r="X6" s="5"/>
      <c r="Y6" s="5"/>
      <c r="Z6" s="5"/>
    </row>
    <row r="7" spans="1:26" x14ac:dyDescent="0.35">
      <c r="A7" s="5"/>
      <c r="B7" s="5"/>
      <c r="C7" s="5"/>
      <c r="D7" s="5"/>
      <c r="E7" s="5"/>
      <c r="F7" s="5"/>
      <c r="G7" s="5"/>
      <c r="H7" s="5"/>
      <c r="I7" s="5"/>
      <c r="J7" s="5"/>
      <c r="K7" s="5"/>
      <c r="L7" s="5"/>
      <c r="M7" s="5"/>
      <c r="N7" s="5"/>
      <c r="O7" s="5"/>
      <c r="P7" s="5"/>
      <c r="Q7" s="5"/>
      <c r="R7" s="5"/>
      <c r="S7" s="5"/>
      <c r="T7" s="5"/>
      <c r="U7" s="5"/>
      <c r="V7" s="5"/>
      <c r="W7" s="5"/>
      <c r="X7" s="5"/>
      <c r="Y7" s="5"/>
      <c r="Z7" s="5"/>
    </row>
    <row r="8" spans="1:26" x14ac:dyDescent="0.35">
      <c r="A8" s="5"/>
      <c r="B8" s="5"/>
      <c r="C8" s="5"/>
      <c r="D8" s="5"/>
      <c r="E8" s="5"/>
      <c r="F8" s="5"/>
      <c r="G8" s="5"/>
      <c r="H8" s="5"/>
      <c r="I8" s="5"/>
      <c r="J8" s="5"/>
      <c r="K8" s="5"/>
      <c r="L8" s="5"/>
      <c r="M8" s="5"/>
      <c r="N8" s="5"/>
      <c r="O8" s="5"/>
      <c r="P8" s="5"/>
      <c r="Q8" s="5"/>
      <c r="R8" s="5"/>
      <c r="S8" s="5"/>
      <c r="T8" s="5"/>
      <c r="U8" s="5"/>
      <c r="V8" s="5"/>
      <c r="W8" s="5"/>
      <c r="X8" s="5"/>
      <c r="Y8" s="5"/>
      <c r="Z8" s="5"/>
    </row>
    <row r="9" spans="1:26" x14ac:dyDescent="0.35">
      <c r="A9" s="5"/>
      <c r="B9" s="5"/>
      <c r="C9" s="5"/>
      <c r="D9" s="5"/>
      <c r="E9" s="5"/>
      <c r="F9" s="5"/>
      <c r="G9" s="5"/>
      <c r="H9" s="5"/>
      <c r="I9" s="5"/>
      <c r="J9" s="5"/>
      <c r="K9" s="5"/>
      <c r="L9" s="5"/>
      <c r="M9" s="5"/>
      <c r="N9" s="5"/>
      <c r="O9" s="5"/>
      <c r="P9" s="5"/>
      <c r="Q9" s="5"/>
      <c r="R9" s="5"/>
      <c r="S9" s="5"/>
      <c r="T9" s="5"/>
      <c r="U9" s="5"/>
      <c r="V9" s="5"/>
      <c r="W9" s="5"/>
      <c r="X9" s="5"/>
      <c r="Y9" s="5"/>
      <c r="Z9" s="5"/>
    </row>
    <row r="10" spans="1:26" x14ac:dyDescent="0.3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47" spans="1:26" ht="26" x14ac:dyDescent="0.6">
      <c r="E47" s="9" t="s">
        <v>66</v>
      </c>
      <c r="F47" s="9"/>
      <c r="G47" s="9"/>
      <c r="H47" s="9"/>
      <c r="I47" s="9"/>
      <c r="J47" s="9"/>
      <c r="K47" s="9"/>
      <c r="L47" s="9"/>
      <c r="M47" s="9"/>
      <c r="N47" s="9"/>
      <c r="O47" s="9"/>
      <c r="P47" s="9"/>
      <c r="Q47" s="9"/>
      <c r="R47" s="10"/>
      <c r="S47" s="10"/>
      <c r="T47" s="11"/>
      <c r="U47" s="11"/>
      <c r="V47" s="11"/>
    </row>
    <row r="48" spans="1:26" ht="26" x14ac:dyDescent="0.6">
      <c r="E48" s="12"/>
      <c r="F48" s="12"/>
      <c r="G48" s="12"/>
      <c r="H48" s="12"/>
      <c r="I48" s="12"/>
      <c r="J48" s="12"/>
      <c r="K48" s="12"/>
      <c r="L48" s="12"/>
      <c r="M48" s="12"/>
      <c r="N48" s="12"/>
      <c r="O48" s="12"/>
      <c r="P48" s="12"/>
      <c r="Q48" s="12"/>
      <c r="R48" s="12"/>
      <c r="S48" s="12"/>
      <c r="T48" s="12"/>
      <c r="U48" s="12"/>
      <c r="V48" s="12"/>
    </row>
    <row r="49" spans="5:22" ht="26" x14ac:dyDescent="0.6">
      <c r="E49" s="12" t="s">
        <v>63</v>
      </c>
      <c r="F49" s="12"/>
      <c r="G49" s="12"/>
      <c r="H49" s="12"/>
      <c r="I49" s="12"/>
      <c r="J49" s="12"/>
      <c r="K49" s="12"/>
      <c r="L49" s="12"/>
      <c r="M49" s="12"/>
      <c r="N49" s="12"/>
      <c r="O49" s="12"/>
      <c r="P49" s="12"/>
      <c r="Q49" s="12"/>
      <c r="R49" s="12"/>
      <c r="S49" s="12"/>
      <c r="T49" s="12"/>
      <c r="U49" s="12"/>
      <c r="V49" s="12"/>
    </row>
    <row r="50" spans="5:22" ht="26" x14ac:dyDescent="0.6">
      <c r="E50" s="12" t="s">
        <v>64</v>
      </c>
      <c r="F50" s="12"/>
      <c r="G50" s="12"/>
      <c r="H50" s="12"/>
      <c r="I50" s="12"/>
      <c r="J50" s="12"/>
      <c r="K50" s="12"/>
      <c r="L50" s="12"/>
      <c r="M50" s="12"/>
      <c r="N50" s="12"/>
      <c r="O50" s="12"/>
      <c r="P50" s="12"/>
      <c r="Q50" s="12"/>
      <c r="R50" s="12"/>
      <c r="S50" s="12"/>
      <c r="T50" s="12"/>
      <c r="U50" s="12"/>
      <c r="V50" s="12"/>
    </row>
    <row r="51" spans="5:22" ht="26" x14ac:dyDescent="0.6">
      <c r="E51" s="12" t="s">
        <v>65</v>
      </c>
      <c r="F51" s="12"/>
      <c r="G51" s="12"/>
      <c r="H51" s="12"/>
      <c r="I51" s="12"/>
      <c r="J51" s="12"/>
      <c r="K51" s="12"/>
      <c r="L51" s="12"/>
      <c r="M51" s="12"/>
      <c r="N51" s="12"/>
      <c r="O51" s="12"/>
      <c r="P51" s="12"/>
      <c r="Q51" s="12"/>
      <c r="R51" s="12"/>
      <c r="S51" s="12"/>
      <c r="T51" s="12"/>
      <c r="U51" s="12"/>
      <c r="V51" s="12"/>
    </row>
    <row r="70" spans="38:52" ht="46" x14ac:dyDescent="1">
      <c r="AQ70" s="7"/>
      <c r="AR70" s="7"/>
    </row>
    <row r="73" spans="38:52" ht="61.5" x14ac:dyDescent="1.35">
      <c r="AL73" s="8"/>
      <c r="AM73" s="8"/>
      <c r="AN73" s="8"/>
      <c r="AO73" s="8"/>
      <c r="AP73" s="8"/>
      <c r="AQ73" s="8"/>
      <c r="AR73" s="8"/>
      <c r="AS73" s="8"/>
      <c r="AT73" s="8"/>
      <c r="AU73" s="8"/>
      <c r="AV73" s="8"/>
      <c r="AW73" s="8"/>
      <c r="AX73" s="8"/>
      <c r="AY73" s="8"/>
      <c r="AZ7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CA77-9070-4ADE-8A34-BE7F4217CB8C}">
  <dimension ref="B4:S23"/>
  <sheetViews>
    <sheetView zoomScale="60" workbookViewId="0">
      <selection activeCell="T12" sqref="T12"/>
    </sheetView>
  </sheetViews>
  <sheetFormatPr defaultRowHeight="14.5" x14ac:dyDescent="0.35"/>
  <cols>
    <col min="1" max="1" width="12.36328125" bestFit="1" customWidth="1"/>
    <col min="2" max="2" width="14" bestFit="1" customWidth="1"/>
    <col min="3" max="3" width="16.7265625" bestFit="1" customWidth="1"/>
    <col min="4" max="8" width="3.81640625" bestFit="1" customWidth="1"/>
    <col min="9" max="9" width="14" bestFit="1" customWidth="1"/>
    <col min="10" max="11" width="16.7265625" bestFit="1" customWidth="1"/>
    <col min="12" max="12" width="7.6328125" bestFit="1" customWidth="1"/>
    <col min="13" max="15" width="16.36328125" bestFit="1" customWidth="1"/>
    <col min="16" max="16" width="16.453125" bestFit="1" customWidth="1"/>
    <col min="17" max="18" width="16.36328125" bestFit="1" customWidth="1"/>
    <col min="19" max="19" width="16.453125" bestFit="1" customWidth="1"/>
    <col min="20" max="24" width="16.36328125" bestFit="1" customWidth="1"/>
    <col min="25" max="25" width="10.7265625" bestFit="1" customWidth="1"/>
    <col min="26" max="32" width="10.08984375" bestFit="1" customWidth="1"/>
    <col min="33" max="33" width="10.7265625" bestFit="1" customWidth="1"/>
  </cols>
  <sheetData>
    <row r="4" spans="2:19" x14ac:dyDescent="0.35">
      <c r="R4" s="2" t="s">
        <v>62</v>
      </c>
      <c r="S4" t="s">
        <v>61</v>
      </c>
    </row>
    <row r="5" spans="2:19" x14ac:dyDescent="0.35">
      <c r="R5" s="3" t="s">
        <v>15</v>
      </c>
      <c r="S5">
        <v>3690</v>
      </c>
    </row>
    <row r="6" spans="2:19" x14ac:dyDescent="0.35">
      <c r="B6" s="2" t="s">
        <v>62</v>
      </c>
      <c r="C6" t="s">
        <v>61</v>
      </c>
      <c r="R6" s="3" t="s">
        <v>58</v>
      </c>
      <c r="S6">
        <v>200</v>
      </c>
    </row>
    <row r="7" spans="2:19" x14ac:dyDescent="0.35">
      <c r="B7" s="3" t="s">
        <v>24</v>
      </c>
      <c r="C7" s="38">
        <v>1600</v>
      </c>
      <c r="I7" s="2" t="s">
        <v>62</v>
      </c>
      <c r="J7" t="s">
        <v>61</v>
      </c>
      <c r="R7" s="3" t="s">
        <v>19</v>
      </c>
      <c r="S7">
        <v>5030</v>
      </c>
    </row>
    <row r="8" spans="2:19" x14ac:dyDescent="0.35">
      <c r="B8" s="3" t="s">
        <v>13</v>
      </c>
      <c r="C8" s="38">
        <v>720</v>
      </c>
      <c r="I8" s="3" t="s">
        <v>18</v>
      </c>
      <c r="J8" s="38">
        <v>2910</v>
      </c>
      <c r="R8" s="3" t="s">
        <v>60</v>
      </c>
      <c r="S8">
        <v>8920</v>
      </c>
    </row>
    <row r="9" spans="2:19" x14ac:dyDescent="0.35">
      <c r="B9" s="3" t="s">
        <v>34</v>
      </c>
      <c r="C9" s="38">
        <v>630</v>
      </c>
      <c r="I9" s="3" t="s">
        <v>14</v>
      </c>
      <c r="J9" s="38">
        <v>3760</v>
      </c>
      <c r="O9" s="2" t="s">
        <v>62</v>
      </c>
      <c r="P9" t="s">
        <v>61</v>
      </c>
    </row>
    <row r="10" spans="2:19" x14ac:dyDescent="0.35">
      <c r="B10" s="3" t="s">
        <v>58</v>
      </c>
      <c r="C10" s="38">
        <v>200</v>
      </c>
      <c r="I10" s="3" t="s">
        <v>22</v>
      </c>
      <c r="J10" s="38">
        <v>2250</v>
      </c>
      <c r="O10" s="3" t="s">
        <v>24</v>
      </c>
      <c r="P10">
        <v>1600</v>
      </c>
    </row>
    <row r="11" spans="2:19" x14ac:dyDescent="0.35">
      <c r="B11" s="3" t="s">
        <v>30</v>
      </c>
      <c r="C11" s="38">
        <v>1060</v>
      </c>
      <c r="I11" s="3" t="s">
        <v>60</v>
      </c>
      <c r="J11" s="38">
        <v>8920</v>
      </c>
      <c r="O11" s="3" t="s">
        <v>13</v>
      </c>
      <c r="P11">
        <v>720</v>
      </c>
    </row>
    <row r="12" spans="2:19" x14ac:dyDescent="0.35">
      <c r="B12" s="3" t="s">
        <v>26</v>
      </c>
      <c r="C12" s="38">
        <v>1800</v>
      </c>
      <c r="O12" s="3" t="s">
        <v>34</v>
      </c>
      <c r="P12">
        <v>630</v>
      </c>
    </row>
    <row r="13" spans="2:19" x14ac:dyDescent="0.35">
      <c r="B13" s="3" t="s">
        <v>21</v>
      </c>
      <c r="C13" s="38">
        <v>750</v>
      </c>
      <c r="O13" s="3" t="s">
        <v>58</v>
      </c>
      <c r="P13">
        <v>200</v>
      </c>
    </row>
    <row r="14" spans="2:19" x14ac:dyDescent="0.35">
      <c r="B14" s="3" t="s">
        <v>17</v>
      </c>
      <c r="C14" s="38">
        <v>480</v>
      </c>
      <c r="O14" s="3" t="s">
        <v>30</v>
      </c>
      <c r="P14">
        <v>1060</v>
      </c>
    </row>
    <row r="15" spans="2:19" x14ac:dyDescent="0.35">
      <c r="B15" s="3" t="s">
        <v>28</v>
      </c>
      <c r="C15" s="38">
        <v>150</v>
      </c>
      <c r="O15" s="3" t="s">
        <v>26</v>
      </c>
      <c r="P15">
        <v>1800</v>
      </c>
    </row>
    <row r="16" spans="2:19" x14ac:dyDescent="0.35">
      <c r="B16" s="3" t="s">
        <v>32</v>
      </c>
      <c r="C16" s="38">
        <v>1530</v>
      </c>
      <c r="O16" s="3" t="s">
        <v>21</v>
      </c>
      <c r="P16">
        <v>750</v>
      </c>
    </row>
    <row r="17" spans="2:16" x14ac:dyDescent="0.35">
      <c r="B17" s="3" t="s">
        <v>60</v>
      </c>
      <c r="C17" s="38">
        <v>8920</v>
      </c>
      <c r="O17" s="3" t="s">
        <v>17</v>
      </c>
      <c r="P17">
        <v>480</v>
      </c>
    </row>
    <row r="18" spans="2:16" x14ac:dyDescent="0.35">
      <c r="O18" s="3" t="s">
        <v>28</v>
      </c>
      <c r="P18">
        <v>150</v>
      </c>
    </row>
    <row r="19" spans="2:16" x14ac:dyDescent="0.35">
      <c r="O19" s="3" t="s">
        <v>32</v>
      </c>
      <c r="P19">
        <v>1530</v>
      </c>
    </row>
    <row r="20" spans="2:16" x14ac:dyDescent="0.35">
      <c r="K20" s="2" t="s">
        <v>9</v>
      </c>
      <c r="L20" t="s">
        <v>59</v>
      </c>
      <c r="O20" s="3" t="s">
        <v>60</v>
      </c>
      <c r="P20">
        <v>8920</v>
      </c>
    </row>
    <row r="22" spans="2:16" x14ac:dyDescent="0.35">
      <c r="K22" t="s">
        <v>61</v>
      </c>
    </row>
    <row r="23" spans="2:16" x14ac:dyDescent="0.35">
      <c r="K23" s="38">
        <v>8920</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DETA</vt:lpstr>
      <vt:lpstr>CLEAN DETA</vt:lpstr>
      <vt:lpstr>ORDER DATA</vt:lpstr>
      <vt:lpstr>DASHBOARD</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TAWDE</dc:creator>
  <cp:lastModifiedBy>PRATHAM TAWDE</cp:lastModifiedBy>
  <dcterms:created xsi:type="dcterms:W3CDTF">2026-04-25T12:45:28Z</dcterms:created>
  <dcterms:modified xsi:type="dcterms:W3CDTF">2026-05-17T15:46:35Z</dcterms:modified>
</cp:coreProperties>
</file>